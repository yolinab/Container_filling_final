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Inkoop\Data management\Product Data Specialist\DATA work in progress\Roos\"/>
    </mc:Choice>
  </mc:AlternateContent>
  <xr:revisionPtr revIDLastSave="0" documentId="13_ncr:1_{B2E609BA-8A25-4A63-8BFC-BA3F259C55B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Basis" sheetId="1" r:id="rId1"/>
    <sheet name="Scenario's" sheetId="3" r:id="rId2"/>
  </sheets>
  <definedNames>
    <definedName name="_xlnm._FilterDatabase" localSheetId="0" hidden="1">Basis!$A$14:$T$14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5" i="1" l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Q16" i="1"/>
  <c r="R16" i="1" s="1"/>
  <c r="Q17" i="1"/>
  <c r="R17" i="1" s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Q37" i="1"/>
  <c r="R37" i="1" s="1"/>
  <c r="Q38" i="1"/>
  <c r="R38" i="1" s="1"/>
  <c r="Q39" i="1"/>
  <c r="R39" i="1" s="1"/>
  <c r="Q40" i="1"/>
  <c r="R40" i="1" s="1"/>
  <c r="Q41" i="1"/>
  <c r="R41" i="1" s="1"/>
  <c r="Q42" i="1"/>
  <c r="R42" i="1" s="1"/>
  <c r="Q43" i="1"/>
  <c r="R43" i="1" s="1"/>
  <c r="Q44" i="1"/>
  <c r="R44" i="1" s="1"/>
  <c r="Q45" i="1"/>
  <c r="R45" i="1" s="1"/>
  <c r="Q46" i="1"/>
  <c r="R46" i="1" s="1"/>
  <c r="Q47" i="1"/>
  <c r="R47" i="1" s="1"/>
  <c r="Q48" i="1"/>
  <c r="R48" i="1" s="1"/>
  <c r="Q49" i="1"/>
  <c r="R49" i="1" s="1"/>
  <c r="Q50" i="1"/>
  <c r="R50" i="1" s="1"/>
  <c r="Q51" i="1"/>
  <c r="R51" i="1" s="1"/>
  <c r="Q52" i="1"/>
  <c r="R52" i="1" s="1"/>
  <c r="Q53" i="1"/>
  <c r="R53" i="1" s="1"/>
  <c r="Q54" i="1"/>
  <c r="R54" i="1" s="1"/>
  <c r="Q55" i="1"/>
  <c r="R55" i="1" s="1"/>
  <c r="Q56" i="1"/>
  <c r="R56" i="1" s="1"/>
  <c r="Q57" i="1"/>
  <c r="R57" i="1" s="1"/>
  <c r="Q58" i="1"/>
  <c r="R58" i="1" s="1"/>
  <c r="Q59" i="1"/>
  <c r="R59" i="1" s="1"/>
  <c r="Q60" i="1"/>
  <c r="R60" i="1" s="1"/>
  <c r="Q61" i="1"/>
  <c r="R61" i="1" s="1"/>
  <c r="Q62" i="1"/>
  <c r="R62" i="1" s="1"/>
  <c r="Q63" i="1"/>
  <c r="R63" i="1" s="1"/>
  <c r="Q64" i="1"/>
  <c r="R64" i="1" s="1"/>
  <c r="Q65" i="1"/>
  <c r="R65" i="1" s="1"/>
  <c r="Q66" i="1"/>
  <c r="R66" i="1" s="1"/>
  <c r="Q67" i="1"/>
  <c r="R67" i="1" s="1"/>
  <c r="Q68" i="1"/>
  <c r="R68" i="1" s="1"/>
  <c r="Q69" i="1"/>
  <c r="R69" i="1" s="1"/>
  <c r="Q70" i="1"/>
  <c r="R70" i="1" s="1"/>
  <c r="Q71" i="1"/>
  <c r="R71" i="1" s="1"/>
  <c r="Q72" i="1"/>
  <c r="R72" i="1" s="1"/>
  <c r="Q73" i="1"/>
  <c r="R73" i="1" s="1"/>
  <c r="Q74" i="1"/>
  <c r="R74" i="1" s="1"/>
  <c r="Q75" i="1"/>
  <c r="R75" i="1" s="1"/>
  <c r="Q76" i="1"/>
  <c r="R76" i="1" s="1"/>
  <c r="Q77" i="1"/>
  <c r="R77" i="1" s="1"/>
  <c r="Q78" i="1"/>
  <c r="R78" i="1" s="1"/>
  <c r="Q79" i="1"/>
  <c r="R79" i="1" s="1"/>
  <c r="Q80" i="1"/>
  <c r="Q81" i="1"/>
  <c r="R81" i="1" s="1"/>
  <c r="Q82" i="1"/>
  <c r="R82" i="1" s="1"/>
  <c r="Q83" i="1"/>
  <c r="R83" i="1" s="1"/>
  <c r="Q84" i="1"/>
  <c r="R84" i="1" s="1"/>
  <c r="Q85" i="1"/>
  <c r="R85" i="1" s="1"/>
  <c r="Q86" i="1"/>
  <c r="R86" i="1" s="1"/>
  <c r="Q87" i="1"/>
  <c r="R87" i="1" s="1"/>
  <c r="Q88" i="1"/>
  <c r="R88" i="1" s="1"/>
  <c r="Q89" i="1"/>
  <c r="R89" i="1" s="1"/>
  <c r="Q90" i="1"/>
  <c r="R90" i="1" s="1"/>
  <c r="Q91" i="1"/>
  <c r="R91" i="1" s="1"/>
  <c r="Q92" i="1"/>
  <c r="R92" i="1" s="1"/>
  <c r="Q93" i="1"/>
  <c r="R93" i="1" s="1"/>
  <c r="Q94" i="1"/>
  <c r="R94" i="1" s="1"/>
  <c r="Q95" i="1"/>
  <c r="R95" i="1" s="1"/>
  <c r="Q96" i="1"/>
  <c r="R96" i="1" s="1"/>
  <c r="Q97" i="1"/>
  <c r="R97" i="1" s="1"/>
  <c r="Q98" i="1"/>
  <c r="R98" i="1" s="1"/>
  <c r="Q99" i="1"/>
  <c r="R99" i="1" s="1"/>
  <c r="Q100" i="1"/>
  <c r="R100" i="1" s="1"/>
  <c r="Q101" i="1"/>
  <c r="R101" i="1" s="1"/>
  <c r="Q102" i="1"/>
  <c r="R102" i="1" s="1"/>
  <c r="Q103" i="1"/>
  <c r="R103" i="1" s="1"/>
  <c r="Q104" i="1"/>
  <c r="R104" i="1" s="1"/>
  <c r="Q105" i="1"/>
  <c r="R105" i="1" s="1"/>
  <c r="Q106" i="1"/>
  <c r="R106" i="1" s="1"/>
  <c r="Q107" i="1"/>
  <c r="R107" i="1" s="1"/>
  <c r="Q108" i="1"/>
  <c r="R108" i="1" s="1"/>
  <c r="Q109" i="1"/>
  <c r="R109" i="1" s="1"/>
  <c r="Q110" i="1"/>
  <c r="R110" i="1" s="1"/>
  <c r="Q111" i="1"/>
  <c r="R111" i="1" s="1"/>
  <c r="Q112" i="1"/>
  <c r="R112" i="1" s="1"/>
  <c r="Q113" i="1"/>
  <c r="R113" i="1" s="1"/>
  <c r="Q114" i="1"/>
  <c r="R114" i="1" s="1"/>
  <c r="Q115" i="1"/>
  <c r="R115" i="1" s="1"/>
  <c r="Q116" i="1"/>
  <c r="R116" i="1" s="1"/>
  <c r="Q117" i="1"/>
  <c r="R117" i="1" s="1"/>
  <c r="Q118" i="1"/>
  <c r="R118" i="1" s="1"/>
  <c r="Q119" i="1"/>
  <c r="R119" i="1" s="1"/>
  <c r="Q120" i="1"/>
  <c r="Q121" i="1"/>
  <c r="R121" i="1" s="1"/>
  <c r="Q122" i="1"/>
  <c r="R122" i="1" s="1"/>
  <c r="Q123" i="1"/>
  <c r="R123" i="1" s="1"/>
  <c r="Q124" i="1"/>
  <c r="R124" i="1" s="1"/>
  <c r="Q125" i="1"/>
  <c r="R125" i="1" s="1"/>
  <c r="Q126" i="1"/>
  <c r="R126" i="1" s="1"/>
  <c r="Q127" i="1"/>
  <c r="R127" i="1" s="1"/>
  <c r="Q128" i="1"/>
  <c r="R128" i="1" s="1"/>
  <c r="Q129" i="1"/>
  <c r="R129" i="1" s="1"/>
  <c r="Q130" i="1"/>
  <c r="R130" i="1" s="1"/>
  <c r="Q131" i="1"/>
  <c r="R131" i="1" s="1"/>
  <c r="Q132" i="1"/>
  <c r="R132" i="1" s="1"/>
  <c r="Q133" i="1"/>
  <c r="R133" i="1" s="1"/>
  <c r="Q134" i="1"/>
  <c r="R134" i="1" s="1"/>
  <c r="Q135" i="1"/>
  <c r="R135" i="1" s="1"/>
  <c r="Q136" i="1"/>
  <c r="R136" i="1" s="1"/>
  <c r="Q137" i="1"/>
  <c r="R137" i="1" s="1"/>
  <c r="Q138" i="1"/>
  <c r="R138" i="1" s="1"/>
  <c r="Q139" i="1"/>
  <c r="R139" i="1" s="1"/>
  <c r="Q140" i="1"/>
  <c r="R140" i="1" s="1"/>
  <c r="Q141" i="1"/>
  <c r="R141" i="1" s="1"/>
  <c r="Q142" i="1"/>
  <c r="R142" i="1" s="1"/>
  <c r="Q143" i="1"/>
  <c r="R143" i="1" s="1"/>
  <c r="Q144" i="1"/>
  <c r="R144" i="1" s="1"/>
  <c r="Q145" i="1"/>
  <c r="R145" i="1" s="1"/>
  <c r="Q146" i="1"/>
  <c r="R146" i="1" s="1"/>
  <c r="Q147" i="1"/>
  <c r="R147" i="1" s="1"/>
  <c r="Q148" i="1"/>
  <c r="R148" i="1" s="1"/>
  <c r="Q149" i="1"/>
  <c r="R149" i="1" s="1"/>
  <c r="Q150" i="1"/>
  <c r="R150" i="1" s="1"/>
  <c r="Q151" i="1"/>
  <c r="R151" i="1" s="1"/>
  <c r="Q152" i="1"/>
  <c r="R152" i="1" s="1"/>
  <c r="Q153" i="1"/>
  <c r="R153" i="1" s="1"/>
  <c r="Q154" i="1"/>
  <c r="R154" i="1" s="1"/>
  <c r="Q155" i="1"/>
  <c r="R155" i="1" s="1"/>
  <c r="Q156" i="1"/>
  <c r="R156" i="1" s="1"/>
  <c r="Q157" i="1"/>
  <c r="R157" i="1" s="1"/>
  <c r="Q158" i="1"/>
  <c r="R158" i="1" s="1"/>
  <c r="Q159" i="1"/>
  <c r="R159" i="1" s="1"/>
  <c r="Q160" i="1"/>
  <c r="R160" i="1" s="1"/>
  <c r="Q161" i="1"/>
  <c r="R161" i="1" s="1"/>
  <c r="Q162" i="1"/>
  <c r="R162" i="1" s="1"/>
  <c r="Q163" i="1"/>
  <c r="R163" i="1" s="1"/>
  <c r="Q164" i="1"/>
  <c r="R164" i="1" s="1"/>
  <c r="Q165" i="1"/>
  <c r="R165" i="1" s="1"/>
  <c r="Q166" i="1"/>
  <c r="R166" i="1" s="1"/>
  <c r="Q167" i="1"/>
  <c r="R167" i="1" s="1"/>
  <c r="Q168" i="1"/>
  <c r="R168" i="1" s="1"/>
  <c r="Q169" i="1"/>
  <c r="R169" i="1" s="1"/>
  <c r="Q170" i="1"/>
  <c r="R170" i="1" s="1"/>
  <c r="Q171" i="1"/>
  <c r="R171" i="1" s="1"/>
  <c r="Q172" i="1"/>
  <c r="R172" i="1" s="1"/>
  <c r="Q173" i="1"/>
  <c r="R173" i="1" s="1"/>
  <c r="Q174" i="1"/>
  <c r="R174" i="1" s="1"/>
  <c r="Q175" i="1"/>
  <c r="R175" i="1" s="1"/>
  <c r="Q176" i="1"/>
  <c r="R176" i="1" s="1"/>
  <c r="Q177" i="1"/>
  <c r="R177" i="1" s="1"/>
  <c r="Q178" i="1"/>
  <c r="R178" i="1" s="1"/>
  <c r="Q179" i="1"/>
  <c r="R179" i="1" s="1"/>
  <c r="Q180" i="1"/>
  <c r="R180" i="1" s="1"/>
  <c r="Q181" i="1"/>
  <c r="R181" i="1" s="1"/>
  <c r="Q182" i="1"/>
  <c r="R182" i="1" s="1"/>
  <c r="Q183" i="1"/>
  <c r="R183" i="1" s="1"/>
  <c r="Q184" i="1"/>
  <c r="R184" i="1" s="1"/>
  <c r="Q185" i="1"/>
  <c r="R185" i="1" s="1"/>
  <c r="Q186" i="1"/>
  <c r="R186" i="1" s="1"/>
  <c r="Q187" i="1"/>
  <c r="R187" i="1" s="1"/>
  <c r="Q188" i="1"/>
  <c r="R188" i="1" s="1"/>
  <c r="Q189" i="1"/>
  <c r="R189" i="1" s="1"/>
  <c r="Q190" i="1"/>
  <c r="R190" i="1" s="1"/>
  <c r="Q191" i="1"/>
  <c r="R191" i="1" s="1"/>
  <c r="Q192" i="1"/>
  <c r="R192" i="1" s="1"/>
  <c r="Q193" i="1"/>
  <c r="R193" i="1" s="1"/>
  <c r="Q194" i="1"/>
  <c r="R194" i="1" s="1"/>
  <c r="Q195" i="1"/>
  <c r="R195" i="1" s="1"/>
  <c r="Q196" i="1"/>
  <c r="R196" i="1" s="1"/>
  <c r="Q197" i="1"/>
  <c r="R197" i="1" s="1"/>
  <c r="Q198" i="1"/>
  <c r="R198" i="1" s="1"/>
  <c r="Q199" i="1"/>
  <c r="R199" i="1" s="1"/>
  <c r="Q200" i="1"/>
  <c r="R200" i="1" s="1"/>
  <c r="Q201" i="1"/>
  <c r="R201" i="1" s="1"/>
  <c r="Q202" i="1"/>
  <c r="R202" i="1" s="1"/>
  <c r="Q203" i="1"/>
  <c r="R203" i="1" s="1"/>
  <c r="Q204" i="1"/>
  <c r="R204" i="1" s="1"/>
  <c r="Q205" i="1"/>
  <c r="R205" i="1" s="1"/>
  <c r="Q206" i="1"/>
  <c r="R206" i="1" s="1"/>
  <c r="Q207" i="1"/>
  <c r="R207" i="1" s="1"/>
  <c r="Q208" i="1"/>
  <c r="R208" i="1" s="1"/>
  <c r="Q209" i="1"/>
  <c r="R209" i="1" s="1"/>
  <c r="Q210" i="1"/>
  <c r="R210" i="1" s="1"/>
  <c r="Q211" i="1"/>
  <c r="R211" i="1" s="1"/>
  <c r="Q212" i="1"/>
  <c r="Q213" i="1"/>
  <c r="R213" i="1" s="1"/>
  <c r="Q214" i="1"/>
  <c r="R214" i="1" s="1"/>
  <c r="Q215" i="1"/>
  <c r="R215" i="1" s="1"/>
  <c r="V215" i="1"/>
  <c r="U215" i="1"/>
  <c r="T215" i="1"/>
  <c r="S215" i="1"/>
  <c r="V214" i="1"/>
  <c r="U214" i="1"/>
  <c r="T214" i="1"/>
  <c r="S214" i="1"/>
  <c r="V213" i="1"/>
  <c r="U213" i="1"/>
  <c r="T213" i="1"/>
  <c r="S213" i="1"/>
  <c r="V212" i="1"/>
  <c r="U212" i="1"/>
  <c r="T212" i="1"/>
  <c r="S212" i="1"/>
  <c r="R212" i="1"/>
  <c r="V211" i="1"/>
  <c r="U211" i="1"/>
  <c r="T211" i="1"/>
  <c r="S211" i="1"/>
  <c r="V210" i="1"/>
  <c r="U210" i="1"/>
  <c r="T210" i="1"/>
  <c r="S210" i="1"/>
  <c r="V209" i="1"/>
  <c r="U209" i="1"/>
  <c r="T209" i="1"/>
  <c r="S209" i="1"/>
  <c r="V208" i="1"/>
  <c r="U208" i="1"/>
  <c r="T208" i="1"/>
  <c r="S208" i="1"/>
  <c r="V207" i="1"/>
  <c r="U207" i="1"/>
  <c r="T207" i="1"/>
  <c r="S207" i="1"/>
  <c r="V206" i="1"/>
  <c r="U206" i="1"/>
  <c r="T206" i="1"/>
  <c r="S206" i="1"/>
  <c r="V205" i="1"/>
  <c r="U205" i="1"/>
  <c r="T205" i="1"/>
  <c r="S205" i="1"/>
  <c r="V204" i="1"/>
  <c r="U204" i="1"/>
  <c r="T204" i="1"/>
  <c r="S204" i="1"/>
  <c r="V203" i="1"/>
  <c r="U203" i="1"/>
  <c r="T203" i="1"/>
  <c r="S203" i="1"/>
  <c r="V202" i="1"/>
  <c r="U202" i="1"/>
  <c r="T202" i="1"/>
  <c r="S202" i="1"/>
  <c r="V201" i="1"/>
  <c r="U201" i="1"/>
  <c r="T201" i="1"/>
  <c r="S201" i="1"/>
  <c r="V200" i="1"/>
  <c r="U200" i="1"/>
  <c r="T200" i="1"/>
  <c r="S200" i="1"/>
  <c r="V199" i="1"/>
  <c r="U199" i="1"/>
  <c r="T199" i="1"/>
  <c r="S199" i="1"/>
  <c r="V198" i="1"/>
  <c r="U198" i="1"/>
  <c r="T198" i="1"/>
  <c r="S198" i="1"/>
  <c r="V197" i="1"/>
  <c r="U197" i="1"/>
  <c r="T197" i="1"/>
  <c r="S197" i="1"/>
  <c r="V196" i="1"/>
  <c r="U196" i="1"/>
  <c r="T196" i="1"/>
  <c r="S196" i="1"/>
  <c r="V195" i="1"/>
  <c r="U195" i="1"/>
  <c r="T195" i="1"/>
  <c r="S195" i="1"/>
  <c r="V194" i="1"/>
  <c r="U194" i="1"/>
  <c r="T194" i="1"/>
  <c r="S194" i="1"/>
  <c r="V193" i="1"/>
  <c r="U193" i="1"/>
  <c r="T193" i="1"/>
  <c r="S193" i="1"/>
  <c r="V192" i="1"/>
  <c r="U192" i="1"/>
  <c r="T192" i="1"/>
  <c r="S192" i="1"/>
  <c r="V191" i="1"/>
  <c r="U191" i="1"/>
  <c r="T191" i="1"/>
  <c r="S191" i="1"/>
  <c r="V190" i="1"/>
  <c r="U190" i="1"/>
  <c r="T190" i="1"/>
  <c r="S190" i="1"/>
  <c r="V189" i="1"/>
  <c r="U189" i="1"/>
  <c r="T189" i="1"/>
  <c r="S189" i="1"/>
  <c r="V188" i="1"/>
  <c r="U188" i="1"/>
  <c r="T188" i="1"/>
  <c r="S188" i="1"/>
  <c r="V187" i="1"/>
  <c r="U187" i="1"/>
  <c r="T187" i="1"/>
  <c r="S187" i="1"/>
  <c r="V186" i="1"/>
  <c r="U186" i="1"/>
  <c r="T186" i="1"/>
  <c r="S186" i="1"/>
  <c r="V185" i="1"/>
  <c r="U185" i="1"/>
  <c r="T185" i="1"/>
  <c r="S185" i="1"/>
  <c r="V184" i="1"/>
  <c r="U184" i="1"/>
  <c r="T184" i="1"/>
  <c r="S184" i="1"/>
  <c r="V183" i="1"/>
  <c r="U183" i="1"/>
  <c r="T183" i="1"/>
  <c r="S183" i="1"/>
  <c r="V182" i="1"/>
  <c r="U182" i="1"/>
  <c r="T182" i="1"/>
  <c r="S182" i="1"/>
  <c r="V181" i="1"/>
  <c r="U181" i="1"/>
  <c r="T181" i="1"/>
  <c r="S181" i="1"/>
  <c r="V180" i="1"/>
  <c r="U180" i="1"/>
  <c r="T180" i="1"/>
  <c r="S180" i="1"/>
  <c r="V179" i="1"/>
  <c r="U179" i="1"/>
  <c r="T179" i="1"/>
  <c r="S179" i="1"/>
  <c r="V178" i="1"/>
  <c r="U178" i="1"/>
  <c r="T178" i="1"/>
  <c r="S178" i="1"/>
  <c r="V177" i="1"/>
  <c r="U177" i="1"/>
  <c r="T177" i="1"/>
  <c r="S177" i="1"/>
  <c r="V176" i="1"/>
  <c r="U176" i="1"/>
  <c r="T176" i="1"/>
  <c r="S176" i="1"/>
  <c r="V175" i="1"/>
  <c r="U175" i="1"/>
  <c r="T175" i="1"/>
  <c r="S175" i="1"/>
  <c r="V174" i="1"/>
  <c r="U174" i="1"/>
  <c r="T174" i="1"/>
  <c r="S174" i="1"/>
  <c r="V173" i="1"/>
  <c r="U173" i="1"/>
  <c r="T173" i="1"/>
  <c r="S173" i="1"/>
  <c r="V172" i="1"/>
  <c r="U172" i="1"/>
  <c r="T172" i="1"/>
  <c r="S172" i="1"/>
  <c r="V171" i="1"/>
  <c r="U171" i="1"/>
  <c r="T171" i="1"/>
  <c r="S171" i="1"/>
  <c r="V170" i="1"/>
  <c r="U170" i="1"/>
  <c r="T170" i="1"/>
  <c r="S170" i="1"/>
  <c r="V169" i="1"/>
  <c r="U169" i="1"/>
  <c r="T169" i="1"/>
  <c r="S169" i="1"/>
  <c r="V168" i="1"/>
  <c r="U168" i="1"/>
  <c r="T168" i="1"/>
  <c r="S168" i="1"/>
  <c r="V167" i="1"/>
  <c r="U167" i="1"/>
  <c r="T167" i="1"/>
  <c r="S167" i="1"/>
  <c r="V166" i="1"/>
  <c r="U166" i="1"/>
  <c r="T166" i="1"/>
  <c r="S166" i="1"/>
  <c r="V165" i="1"/>
  <c r="U165" i="1"/>
  <c r="T165" i="1"/>
  <c r="S165" i="1"/>
  <c r="V164" i="1"/>
  <c r="U164" i="1"/>
  <c r="T164" i="1"/>
  <c r="S164" i="1"/>
  <c r="V163" i="1"/>
  <c r="U163" i="1"/>
  <c r="T163" i="1"/>
  <c r="S163" i="1"/>
  <c r="V162" i="1"/>
  <c r="U162" i="1"/>
  <c r="T162" i="1"/>
  <c r="S162" i="1"/>
  <c r="V161" i="1"/>
  <c r="U161" i="1"/>
  <c r="T161" i="1"/>
  <c r="S161" i="1"/>
  <c r="V160" i="1"/>
  <c r="U160" i="1"/>
  <c r="T160" i="1"/>
  <c r="S160" i="1"/>
  <c r="V159" i="1"/>
  <c r="U159" i="1"/>
  <c r="T159" i="1"/>
  <c r="S159" i="1"/>
  <c r="V158" i="1"/>
  <c r="U158" i="1"/>
  <c r="T158" i="1"/>
  <c r="S158" i="1"/>
  <c r="V157" i="1"/>
  <c r="U157" i="1"/>
  <c r="T157" i="1"/>
  <c r="S157" i="1"/>
  <c r="V156" i="1"/>
  <c r="U156" i="1"/>
  <c r="T156" i="1"/>
  <c r="S156" i="1"/>
  <c r="V155" i="1"/>
  <c r="U155" i="1"/>
  <c r="T155" i="1"/>
  <c r="S155" i="1"/>
  <c r="V154" i="1"/>
  <c r="U154" i="1"/>
  <c r="T154" i="1"/>
  <c r="S154" i="1"/>
  <c r="V153" i="1"/>
  <c r="U153" i="1"/>
  <c r="T153" i="1"/>
  <c r="S153" i="1"/>
  <c r="V152" i="1"/>
  <c r="U152" i="1"/>
  <c r="T152" i="1"/>
  <c r="S152" i="1"/>
  <c r="V151" i="1"/>
  <c r="U151" i="1"/>
  <c r="T151" i="1"/>
  <c r="S151" i="1"/>
  <c r="V150" i="1"/>
  <c r="U150" i="1"/>
  <c r="T150" i="1"/>
  <c r="S150" i="1"/>
  <c r="V149" i="1"/>
  <c r="U149" i="1"/>
  <c r="T149" i="1"/>
  <c r="S149" i="1"/>
  <c r="V148" i="1"/>
  <c r="U148" i="1"/>
  <c r="T148" i="1"/>
  <c r="S148" i="1"/>
  <c r="V147" i="1"/>
  <c r="U147" i="1"/>
  <c r="T147" i="1"/>
  <c r="S147" i="1"/>
  <c r="V146" i="1"/>
  <c r="U146" i="1"/>
  <c r="T146" i="1"/>
  <c r="S146" i="1"/>
  <c r="V145" i="1"/>
  <c r="U145" i="1"/>
  <c r="T145" i="1"/>
  <c r="S145" i="1"/>
  <c r="V144" i="1"/>
  <c r="U144" i="1"/>
  <c r="T144" i="1"/>
  <c r="S144" i="1"/>
  <c r="V143" i="1"/>
  <c r="U143" i="1"/>
  <c r="T143" i="1"/>
  <c r="S143" i="1"/>
  <c r="V142" i="1"/>
  <c r="U142" i="1"/>
  <c r="T142" i="1"/>
  <c r="S142" i="1"/>
  <c r="V141" i="1"/>
  <c r="U141" i="1"/>
  <c r="T141" i="1"/>
  <c r="S141" i="1"/>
  <c r="V140" i="1"/>
  <c r="U140" i="1"/>
  <c r="T140" i="1"/>
  <c r="S140" i="1"/>
  <c r="V139" i="1"/>
  <c r="U139" i="1"/>
  <c r="T139" i="1"/>
  <c r="S139" i="1"/>
  <c r="V138" i="1"/>
  <c r="U138" i="1"/>
  <c r="T138" i="1"/>
  <c r="S138" i="1"/>
  <c r="V137" i="1"/>
  <c r="U137" i="1"/>
  <c r="T137" i="1"/>
  <c r="S137" i="1"/>
  <c r="V136" i="1"/>
  <c r="U136" i="1"/>
  <c r="T136" i="1"/>
  <c r="S136" i="1"/>
  <c r="V135" i="1"/>
  <c r="U135" i="1"/>
  <c r="T135" i="1"/>
  <c r="S135" i="1"/>
  <c r="V134" i="1"/>
  <c r="U134" i="1"/>
  <c r="T134" i="1"/>
  <c r="S134" i="1"/>
  <c r="V133" i="1"/>
  <c r="U133" i="1"/>
  <c r="T133" i="1"/>
  <c r="S133" i="1"/>
  <c r="V132" i="1"/>
  <c r="U132" i="1"/>
  <c r="T132" i="1"/>
  <c r="S132" i="1"/>
  <c r="V131" i="1"/>
  <c r="U131" i="1"/>
  <c r="T131" i="1"/>
  <c r="S131" i="1"/>
  <c r="V130" i="1"/>
  <c r="U130" i="1"/>
  <c r="T130" i="1"/>
  <c r="S130" i="1"/>
  <c r="V129" i="1"/>
  <c r="U129" i="1"/>
  <c r="T129" i="1"/>
  <c r="S129" i="1"/>
  <c r="V128" i="1"/>
  <c r="U128" i="1"/>
  <c r="T128" i="1"/>
  <c r="S128" i="1"/>
  <c r="V127" i="1"/>
  <c r="U127" i="1"/>
  <c r="T127" i="1"/>
  <c r="S127" i="1"/>
  <c r="V126" i="1"/>
  <c r="U126" i="1"/>
  <c r="T126" i="1"/>
  <c r="S126" i="1"/>
  <c r="V125" i="1"/>
  <c r="U125" i="1"/>
  <c r="T125" i="1"/>
  <c r="S125" i="1"/>
  <c r="V124" i="1"/>
  <c r="U124" i="1"/>
  <c r="T124" i="1"/>
  <c r="S124" i="1"/>
  <c r="V123" i="1"/>
  <c r="U123" i="1"/>
  <c r="T123" i="1"/>
  <c r="S123" i="1"/>
  <c r="V122" i="1"/>
  <c r="U122" i="1"/>
  <c r="T122" i="1"/>
  <c r="S122" i="1"/>
  <c r="V121" i="1"/>
  <c r="U121" i="1"/>
  <c r="T121" i="1"/>
  <c r="S121" i="1"/>
  <c r="V120" i="1"/>
  <c r="U120" i="1"/>
  <c r="T120" i="1"/>
  <c r="S120" i="1"/>
  <c r="R120" i="1"/>
  <c r="V119" i="1"/>
  <c r="U119" i="1"/>
  <c r="T119" i="1"/>
  <c r="S119" i="1"/>
  <c r="V118" i="1"/>
  <c r="U118" i="1"/>
  <c r="T118" i="1"/>
  <c r="S118" i="1"/>
  <c r="V117" i="1"/>
  <c r="U117" i="1"/>
  <c r="T117" i="1"/>
  <c r="S117" i="1"/>
  <c r="V116" i="1"/>
  <c r="U116" i="1"/>
  <c r="T116" i="1"/>
  <c r="S116" i="1"/>
  <c r="V115" i="1"/>
  <c r="U115" i="1"/>
  <c r="T115" i="1"/>
  <c r="S115" i="1"/>
  <c r="V114" i="1"/>
  <c r="U114" i="1"/>
  <c r="T114" i="1"/>
  <c r="S114" i="1"/>
  <c r="V113" i="1"/>
  <c r="U113" i="1"/>
  <c r="T113" i="1"/>
  <c r="S113" i="1"/>
  <c r="V112" i="1"/>
  <c r="U112" i="1"/>
  <c r="T112" i="1"/>
  <c r="S112" i="1"/>
  <c r="V111" i="1"/>
  <c r="U111" i="1"/>
  <c r="T111" i="1"/>
  <c r="S111" i="1"/>
  <c r="V110" i="1"/>
  <c r="U110" i="1"/>
  <c r="T110" i="1"/>
  <c r="S110" i="1"/>
  <c r="V109" i="1"/>
  <c r="U109" i="1"/>
  <c r="T109" i="1"/>
  <c r="S109" i="1"/>
  <c r="V108" i="1"/>
  <c r="U108" i="1"/>
  <c r="T108" i="1"/>
  <c r="S108" i="1"/>
  <c r="V107" i="1"/>
  <c r="U107" i="1"/>
  <c r="T107" i="1"/>
  <c r="S107" i="1"/>
  <c r="V106" i="1"/>
  <c r="U106" i="1"/>
  <c r="T106" i="1"/>
  <c r="S106" i="1"/>
  <c r="V105" i="1"/>
  <c r="U105" i="1"/>
  <c r="T105" i="1"/>
  <c r="S105" i="1"/>
  <c r="V104" i="1"/>
  <c r="U104" i="1"/>
  <c r="T104" i="1"/>
  <c r="S104" i="1"/>
  <c r="V103" i="1"/>
  <c r="U103" i="1"/>
  <c r="T103" i="1"/>
  <c r="S103" i="1"/>
  <c r="V102" i="1"/>
  <c r="U102" i="1"/>
  <c r="T102" i="1"/>
  <c r="S102" i="1"/>
  <c r="V101" i="1"/>
  <c r="U101" i="1"/>
  <c r="T101" i="1"/>
  <c r="S101" i="1"/>
  <c r="V100" i="1"/>
  <c r="U100" i="1"/>
  <c r="T100" i="1"/>
  <c r="S100" i="1"/>
  <c r="V99" i="1"/>
  <c r="U99" i="1"/>
  <c r="T99" i="1"/>
  <c r="S99" i="1"/>
  <c r="V98" i="1"/>
  <c r="U98" i="1"/>
  <c r="T98" i="1"/>
  <c r="S98" i="1"/>
  <c r="V97" i="1"/>
  <c r="U97" i="1"/>
  <c r="T97" i="1"/>
  <c r="S97" i="1"/>
  <c r="V96" i="1"/>
  <c r="U96" i="1"/>
  <c r="T96" i="1"/>
  <c r="S96" i="1"/>
  <c r="V95" i="1"/>
  <c r="U95" i="1"/>
  <c r="T95" i="1"/>
  <c r="S95" i="1"/>
  <c r="V94" i="1"/>
  <c r="U94" i="1"/>
  <c r="T94" i="1"/>
  <c r="S94" i="1"/>
  <c r="V93" i="1"/>
  <c r="U93" i="1"/>
  <c r="T93" i="1"/>
  <c r="S93" i="1"/>
  <c r="V92" i="1"/>
  <c r="U92" i="1"/>
  <c r="T92" i="1"/>
  <c r="S92" i="1"/>
  <c r="V91" i="1"/>
  <c r="U91" i="1"/>
  <c r="T91" i="1"/>
  <c r="S91" i="1"/>
  <c r="V90" i="1"/>
  <c r="U90" i="1"/>
  <c r="T90" i="1"/>
  <c r="S90" i="1"/>
  <c r="V89" i="1"/>
  <c r="U89" i="1"/>
  <c r="T89" i="1"/>
  <c r="S89" i="1"/>
  <c r="V88" i="1"/>
  <c r="U88" i="1"/>
  <c r="T88" i="1"/>
  <c r="S88" i="1"/>
  <c r="V87" i="1"/>
  <c r="U87" i="1"/>
  <c r="T87" i="1"/>
  <c r="S87" i="1"/>
  <c r="V86" i="1"/>
  <c r="U86" i="1"/>
  <c r="T86" i="1"/>
  <c r="S86" i="1"/>
  <c r="V85" i="1"/>
  <c r="U85" i="1"/>
  <c r="T85" i="1"/>
  <c r="S85" i="1"/>
  <c r="V84" i="1"/>
  <c r="U84" i="1"/>
  <c r="T84" i="1"/>
  <c r="S84" i="1"/>
  <c r="V83" i="1"/>
  <c r="U83" i="1"/>
  <c r="T83" i="1"/>
  <c r="S83" i="1"/>
  <c r="V82" i="1"/>
  <c r="U82" i="1"/>
  <c r="T82" i="1"/>
  <c r="S82" i="1"/>
  <c r="V81" i="1"/>
  <c r="U81" i="1"/>
  <c r="T81" i="1"/>
  <c r="S81" i="1"/>
  <c r="V80" i="1"/>
  <c r="U80" i="1"/>
  <c r="T80" i="1"/>
  <c r="S80" i="1"/>
  <c r="R80" i="1"/>
  <c r="V79" i="1"/>
  <c r="U79" i="1"/>
  <c r="T79" i="1"/>
  <c r="S79" i="1"/>
  <c r="V78" i="1"/>
  <c r="U78" i="1"/>
  <c r="T78" i="1"/>
  <c r="S78" i="1"/>
  <c r="V77" i="1"/>
  <c r="U77" i="1"/>
  <c r="T77" i="1"/>
  <c r="S77" i="1"/>
  <c r="V76" i="1"/>
  <c r="U76" i="1"/>
  <c r="T76" i="1"/>
  <c r="S76" i="1"/>
  <c r="V75" i="1"/>
  <c r="U75" i="1"/>
  <c r="T75" i="1"/>
  <c r="S75" i="1"/>
  <c r="V74" i="1"/>
  <c r="U74" i="1"/>
  <c r="T74" i="1"/>
  <c r="S74" i="1"/>
  <c r="V73" i="1"/>
  <c r="U73" i="1"/>
  <c r="T73" i="1"/>
  <c r="S73" i="1"/>
  <c r="V72" i="1"/>
  <c r="U72" i="1"/>
  <c r="T72" i="1"/>
  <c r="S72" i="1"/>
  <c r="V71" i="1"/>
  <c r="U71" i="1"/>
  <c r="T71" i="1"/>
  <c r="S71" i="1"/>
  <c r="V70" i="1"/>
  <c r="U70" i="1"/>
  <c r="T70" i="1"/>
  <c r="S70" i="1"/>
  <c r="V69" i="1"/>
  <c r="U69" i="1"/>
  <c r="T69" i="1"/>
  <c r="S69" i="1"/>
  <c r="V68" i="1"/>
  <c r="U68" i="1"/>
  <c r="T68" i="1"/>
  <c r="S68" i="1"/>
  <c r="V67" i="1"/>
  <c r="U67" i="1"/>
  <c r="T67" i="1"/>
  <c r="S67" i="1"/>
  <c r="V66" i="1"/>
  <c r="U66" i="1"/>
  <c r="T66" i="1"/>
  <c r="S66" i="1"/>
  <c r="V65" i="1"/>
  <c r="U65" i="1"/>
  <c r="T65" i="1"/>
  <c r="S65" i="1"/>
  <c r="V64" i="1"/>
  <c r="U64" i="1"/>
  <c r="T64" i="1"/>
  <c r="S64" i="1"/>
  <c r="V63" i="1"/>
  <c r="U63" i="1"/>
  <c r="T63" i="1"/>
  <c r="S63" i="1"/>
  <c r="V62" i="1"/>
  <c r="U62" i="1"/>
  <c r="T62" i="1"/>
  <c r="S62" i="1"/>
  <c r="V61" i="1"/>
  <c r="U61" i="1"/>
  <c r="T61" i="1"/>
  <c r="S61" i="1"/>
  <c r="V60" i="1"/>
  <c r="U60" i="1"/>
  <c r="T60" i="1"/>
  <c r="S60" i="1"/>
  <c r="V59" i="1"/>
  <c r="U59" i="1"/>
  <c r="T59" i="1"/>
  <c r="S59" i="1"/>
  <c r="V58" i="1"/>
  <c r="U58" i="1"/>
  <c r="T58" i="1"/>
  <c r="S58" i="1"/>
  <c r="V57" i="1"/>
  <c r="U57" i="1"/>
  <c r="T57" i="1"/>
  <c r="S57" i="1"/>
  <c r="V56" i="1"/>
  <c r="U56" i="1"/>
  <c r="T56" i="1"/>
  <c r="S56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U25" i="1"/>
  <c r="V25" i="1"/>
  <c r="U26" i="1"/>
  <c r="V26" i="1"/>
  <c r="U27" i="1"/>
  <c r="V27" i="1"/>
  <c r="U28" i="1"/>
  <c r="V28" i="1"/>
  <c r="U29" i="1"/>
  <c r="V29" i="1"/>
  <c r="U30" i="1"/>
  <c r="V30" i="1"/>
  <c r="U31" i="1"/>
  <c r="V31" i="1"/>
  <c r="U32" i="1"/>
  <c r="V32" i="1"/>
  <c r="U33" i="1"/>
  <c r="V33" i="1"/>
  <c r="U34" i="1"/>
  <c r="V34" i="1"/>
  <c r="U35" i="1"/>
  <c r="V35" i="1"/>
  <c r="U36" i="1"/>
  <c r="V36" i="1"/>
  <c r="U37" i="1"/>
  <c r="V37" i="1"/>
  <c r="U38" i="1"/>
  <c r="V38" i="1"/>
  <c r="U39" i="1"/>
  <c r="V39" i="1"/>
  <c r="U40" i="1"/>
  <c r="V40" i="1"/>
  <c r="U41" i="1"/>
  <c r="V41" i="1"/>
  <c r="U42" i="1"/>
  <c r="V42" i="1"/>
  <c r="U43" i="1"/>
  <c r="V43" i="1"/>
  <c r="U44" i="1"/>
  <c r="V44" i="1"/>
  <c r="U45" i="1"/>
  <c r="V45" i="1"/>
  <c r="U46" i="1"/>
  <c r="V46" i="1"/>
  <c r="U47" i="1"/>
  <c r="V47" i="1"/>
  <c r="U48" i="1"/>
  <c r="V48" i="1"/>
  <c r="U49" i="1"/>
  <c r="V49" i="1"/>
  <c r="U50" i="1"/>
  <c r="V50" i="1"/>
  <c r="U51" i="1"/>
  <c r="V51" i="1"/>
  <c r="U52" i="1"/>
  <c r="V52" i="1"/>
  <c r="U53" i="1"/>
  <c r="V53" i="1"/>
  <c r="U54" i="1"/>
  <c r="V54" i="1"/>
  <c r="U55" i="1"/>
  <c r="V55" i="1"/>
  <c r="V15" i="1"/>
  <c r="U15" i="1"/>
  <c r="T15" i="1"/>
  <c r="R36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B13" i="3" l="1"/>
  <c r="B12" i="3"/>
  <c r="Z6" i="3"/>
  <c r="Z5" i="3"/>
  <c r="Z4" i="3"/>
  <c r="X5" i="3"/>
  <c r="T12" i="3" l="1"/>
  <c r="E13" i="3"/>
  <c r="Q13" i="3"/>
  <c r="N13" i="3"/>
  <c r="T13" i="3"/>
  <c r="K13" i="3"/>
  <c r="H13" i="3"/>
  <c r="S15" i="1"/>
  <c r="B11" i="3" s="1"/>
  <c r="H11" i="3" s="1"/>
  <c r="Q15" i="1"/>
  <c r="X3" i="3" s="1"/>
  <c r="X4" i="3" l="1"/>
  <c r="E12" i="3"/>
  <c r="Q12" i="3"/>
  <c r="K12" i="3"/>
  <c r="N12" i="3"/>
  <c r="R15" i="1"/>
  <c r="X6" i="3" l="1"/>
  <c r="T11" i="3"/>
  <c r="N11" i="3"/>
  <c r="K11" i="3"/>
  <c r="Q11" i="3"/>
  <c r="E11" i="3"/>
  <c r="E16" i="3" l="1"/>
  <c r="E17" i="3"/>
  <c r="K17" i="3"/>
  <c r="K16" i="3"/>
  <c r="N17" i="3"/>
  <c r="N16" i="3"/>
  <c r="Q17" i="3"/>
  <c r="Q16" i="3"/>
  <c r="T17" i="3"/>
  <c r="T16" i="3"/>
  <c r="H12" i="3"/>
  <c r="H17" i="3" s="1"/>
  <c r="H16" i="3" l="1"/>
</calcChain>
</file>

<file path=xl/sharedStrings.xml><?xml version="1.0" encoding="utf-8"?>
<sst xmlns="http://schemas.openxmlformats.org/spreadsheetml/2006/main" count="250" uniqueCount="148">
  <si>
    <t>Outer Cartons (cbm)</t>
  </si>
  <si>
    <t>Actual</t>
  </si>
  <si>
    <t>Conditions</t>
  </si>
  <si>
    <t>Shipping condition</t>
  </si>
  <si>
    <t>FOB</t>
  </si>
  <si>
    <t>Type of container</t>
  </si>
  <si>
    <t>Port of departure</t>
  </si>
  <si>
    <t>Xiamen</t>
  </si>
  <si>
    <t>Max. items per container</t>
  </si>
  <si>
    <t>Order summary</t>
  </si>
  <si>
    <t>Total number of pallets</t>
  </si>
  <si>
    <t>Total amount (US $)</t>
  </si>
  <si>
    <t>Instructions</t>
  </si>
  <si>
    <t>1. Choose a full container combination</t>
  </si>
  <si>
    <t>2. Filter on palletsize and select the required numbers of pallets</t>
  </si>
  <si>
    <t>3. Filter on serie/color/size to have all items from a serie/color/size in 1 overview</t>
  </si>
  <si>
    <t>Product information</t>
  </si>
  <si>
    <t>Packaging information</t>
  </si>
  <si>
    <t>Order information</t>
  </si>
  <si>
    <t>Picture</t>
  </si>
  <si>
    <t>Picture HD</t>
  </si>
  <si>
    <t>Barcode Item</t>
  </si>
  <si>
    <t>Item</t>
  </si>
  <si>
    <t>Productname</t>
  </si>
  <si>
    <t>Serie</t>
  </si>
  <si>
    <t>Color</t>
  </si>
  <si>
    <t>FOB price in US $ (per piece)</t>
  </si>
  <si>
    <t>Outercarton or pallet</t>
  </si>
  <si>
    <t>CBM</t>
  </si>
  <si>
    <t>Packing quantity</t>
  </si>
  <si>
    <t>Number of cartons/pallets</t>
  </si>
  <si>
    <t>Number of pieces</t>
  </si>
  <si>
    <t>Total amount in US $</t>
  </si>
  <si>
    <t>Total CBM</t>
  </si>
  <si>
    <t>Order</t>
  </si>
  <si>
    <t>Option A</t>
  </si>
  <si>
    <t>Option B</t>
  </si>
  <si>
    <t>Option C</t>
  </si>
  <si>
    <t>Option D</t>
  </si>
  <si>
    <t>Option E</t>
  </si>
  <si>
    <t>Option F</t>
  </si>
  <si>
    <t>Pallets 115x77</t>
  </si>
  <si>
    <t>To complete</t>
  </si>
  <si>
    <t>Required</t>
  </si>
  <si>
    <t>Product Size</t>
  </si>
  <si>
    <t>black</t>
  </si>
  <si>
    <t>grey</t>
  </si>
  <si>
    <t>Pallet Height</t>
  </si>
  <si>
    <t>Total pallets 115x77</t>
  </si>
  <si>
    <t>off white</t>
  </si>
  <si>
    <t>Pallet Size</t>
  </si>
  <si>
    <t>4. Check if all boxes below for one Option are "approved" (green) - when red it cannot be sent out</t>
  </si>
  <si>
    <r>
      <t xml:space="preserve">Item count </t>
    </r>
    <r>
      <rPr>
        <sz val="8"/>
        <color theme="0"/>
        <rFont val="Segoe UI"/>
        <family val="2"/>
      </rPr>
      <t>(max 25)</t>
    </r>
  </si>
  <si>
    <t>Pallet</t>
  </si>
  <si>
    <t>115 x 115</t>
  </si>
  <si>
    <t>h44xd44cm</t>
  </si>
  <si>
    <t>115 x 108</t>
  </si>
  <si>
    <t>Outercarton</t>
  </si>
  <si>
    <t/>
  </si>
  <si>
    <t>115 x 77</t>
  </si>
  <si>
    <t>40 ft</t>
  </si>
  <si>
    <t>40 HC</t>
  </si>
  <si>
    <t>In selection</t>
  </si>
  <si>
    <t>Yes</t>
  </si>
  <si>
    <t>mixpallet</t>
  </si>
  <si>
    <t>taupe</t>
  </si>
  <si>
    <t>l. green</t>
  </si>
  <si>
    <t>Fernando</t>
  </si>
  <si>
    <t>h64xd36cm</t>
  </si>
  <si>
    <t>h51xd51cm</t>
  </si>
  <si>
    <t>h47xd30cm</t>
  </si>
  <si>
    <t>h44,5xd44cm</t>
  </si>
  <si>
    <t>8720362059196</t>
  </si>
  <si>
    <t>1109040</t>
  </si>
  <si>
    <t>Fernando pot round off white grey black l.green mixpallet</t>
  </si>
  <si>
    <t>off white,grey,black,l. green</t>
  </si>
  <si>
    <t>8720362059097</t>
  </si>
  <si>
    <t>1109030</t>
  </si>
  <si>
    <t>Fernando pot round grey set of 5 - h51xd51cm</t>
  </si>
  <si>
    <t>8720362059165</t>
  </si>
  <si>
    <t>1109037</t>
  </si>
  <si>
    <t>Fernando pot on stand black set of 3 - h64xd36cm</t>
  </si>
  <si>
    <t>8720362059158</t>
  </si>
  <si>
    <t>1109036</t>
  </si>
  <si>
    <t>Fernando pot on stand black set of 2 - h47xd30cm</t>
  </si>
  <si>
    <t>8720362059189</t>
  </si>
  <si>
    <t>1109039</t>
  </si>
  <si>
    <t>Fernando pot on stand l. green set of 3 - h64xd36cm</t>
  </si>
  <si>
    <t>8720362059172</t>
  </si>
  <si>
    <t>1109038</t>
  </si>
  <si>
    <t>Fernando pot on stand l. green set of 2 - h47xd30cm</t>
  </si>
  <si>
    <t>8720362059141</t>
  </si>
  <si>
    <t>1109035</t>
  </si>
  <si>
    <t>Fernando pot on stand grey set of 3 - h64xd36cm</t>
  </si>
  <si>
    <t>8720362059110</t>
  </si>
  <si>
    <t>1109032</t>
  </si>
  <si>
    <t>Fernando pot on stand off white set of 2 - h47xd30cm</t>
  </si>
  <si>
    <t>8720362059103</t>
  </si>
  <si>
    <t>1109031</t>
  </si>
  <si>
    <t>Fernando pot round l. green set of 5 - h51xd51cm</t>
  </si>
  <si>
    <t>8720362059134</t>
  </si>
  <si>
    <t>1109034</t>
  </si>
  <si>
    <t>Fernando pot on stand grey set of 2 - h47xd30cm</t>
  </si>
  <si>
    <t>8720362059127</t>
  </si>
  <si>
    <t>1109033</t>
  </si>
  <si>
    <t>Fernando pot on stand off white set of 3 - h64xd36cm</t>
  </si>
  <si>
    <t>8718861868654</t>
  </si>
  <si>
    <t>1089704</t>
  </si>
  <si>
    <t>Fernando pot round taupe set of 2 - h55xd34cm</t>
  </si>
  <si>
    <t>h55xd34cm</t>
  </si>
  <si>
    <t>8718861868647</t>
  </si>
  <si>
    <t>1089703</t>
  </si>
  <si>
    <t>Fernando pot round taupe set of 3 - h44,5xd44cm</t>
  </si>
  <si>
    <t>8718861868678</t>
  </si>
  <si>
    <t>1089706</t>
  </si>
  <si>
    <t>Fernando pot round black set of 5 - h51xd51cm</t>
  </si>
  <si>
    <t>8718861868661</t>
  </si>
  <si>
    <t>1089705</t>
  </si>
  <si>
    <t>Fernando pot round black set of 4 - h44xd44cm</t>
  </si>
  <si>
    <t>8718861868623</t>
  </si>
  <si>
    <t>1089701</t>
  </si>
  <si>
    <t>Fernando pot round taupe set of 4 - h44xd44cm</t>
  </si>
  <si>
    <t>8718861868593</t>
  </si>
  <si>
    <t>1089698</t>
  </si>
  <si>
    <t>Fernando pot round off white set of 5 - h51xd51cm</t>
  </si>
  <si>
    <t>8718861868586</t>
  </si>
  <si>
    <t>1089697</t>
  </si>
  <si>
    <t>Fernando pot round off white set of 4 - h44xd44cm</t>
  </si>
  <si>
    <t>8718861868616</t>
  </si>
  <si>
    <t>1089700</t>
  </si>
  <si>
    <t>Fernando pot round off white set of 2 - h55xd34cm</t>
  </si>
  <si>
    <t>8718861868609</t>
  </si>
  <si>
    <t>1089699</t>
  </si>
  <si>
    <t>Fernando pot round off white set of 3 - h44,5xd44cm</t>
  </si>
  <si>
    <t>8718861868692</t>
  </si>
  <si>
    <t>1089708</t>
  </si>
  <si>
    <t>Fernando pot round black set of 2 - h55xd34cm</t>
  </si>
  <si>
    <t>8718861868685</t>
  </si>
  <si>
    <t>1089707</t>
  </si>
  <si>
    <t>Fernando pot round black set of 3 - h44,5xd44cm</t>
  </si>
  <si>
    <t>Total pallets 115x108</t>
  </si>
  <si>
    <t>Total pallets 115x115</t>
  </si>
  <si>
    <t>Total CBM (max 75)</t>
  </si>
  <si>
    <t>Pallets 115x108/
115x115</t>
  </si>
  <si>
    <t>115x77(max 60;4/6 p.row)</t>
  </si>
  <si>
    <t>115x108(max 44;4 p.row)</t>
  </si>
  <si>
    <t>115x115(max 40;4 p.row)</t>
  </si>
  <si>
    <t>Full Container Load 1 palletsize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</si>
</sst>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 * #,##0_ ;_ * \-#,##0_ ;_ * &quot;-&quot;_ ;_ @_ "/>
    <numFmt numFmtId="43" formatCode="_ * #,##0.00_ ;_ * \-#,##0.00_ ;_ * &quot;-&quot;??_ ;_ @_ "/>
    <numFmt numFmtId="164" formatCode="_-[$$-409]* #,##0.00_ ;_-[$$-409]* \-#,##0.00\ ;_-[$$-409]* &quot;-&quot;??_ ;_-@_ "/>
    <numFmt numFmtId="165" formatCode="_ * #,##0.00_ ;_ * \-#,##0.00_ ;_ * &quot;-&quot;_ ;_ @_ "/>
    <numFmt numFmtId="166" formatCode="_ * #,##0_ ;_ * \-#,##0_ ;_ * &quot;-&quot;??_ ;_ @_ "/>
    <numFmt numFmtId="167" formatCode="0.000"/>
  </numFmts>
  <fonts count="14" x14ac:knownFonts="1">
    <font>
      <sz val="9"/>
      <color theme="1"/>
      <name val="Segoe UI"/>
      <family val="2"/>
    </font>
    <font>
      <sz val="9"/>
      <color theme="1"/>
      <name val="Segoe UI"/>
      <family val="2"/>
    </font>
    <font>
      <sz val="9"/>
      <color theme="1"/>
      <name val="Calibri"/>
      <family val="2"/>
      <scheme val="minor"/>
    </font>
    <font>
      <sz val="8"/>
      <color theme="1"/>
      <name val="Segoe UI"/>
      <family val="2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Segoe UI"/>
      <family val="2"/>
    </font>
    <font>
      <b/>
      <sz val="8"/>
      <color theme="1"/>
      <name val="Segoe UI"/>
      <family val="2"/>
    </font>
    <font>
      <sz val="8"/>
      <color theme="0"/>
      <name val="Segoe UI"/>
      <family val="2"/>
    </font>
    <font>
      <b/>
      <sz val="8"/>
      <color theme="0"/>
      <name val="Segoe UI"/>
      <family val="2"/>
    </font>
    <font>
      <sz val="9"/>
      <color theme="0"/>
      <name val="Calibri"/>
      <family val="2"/>
      <scheme val="minor"/>
    </font>
    <font>
      <sz val="8"/>
      <name val="Segoe UI"/>
      <family val="2"/>
    </font>
    <font>
      <u/>
      <sz val="9"/>
      <color theme="10"/>
      <name val="Segoe UI"/>
      <family val="2"/>
    </font>
    <font>
      <u/>
      <sz val="8"/>
      <color theme="1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theme="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8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/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Border="1"/>
    <xf numFmtId="0" fontId="2" fillId="0" borderId="0" xfId="0" applyFont="1" applyFill="1" applyBorder="1"/>
    <xf numFmtId="0" fontId="0" fillId="0" borderId="1" xfId="0" applyFont="1" applyBorder="1"/>
    <xf numFmtId="0" fontId="5" fillId="0" borderId="0" xfId="0" applyFont="1" applyAlignment="1">
      <alignment horizontal="center"/>
    </xf>
    <xf numFmtId="164" fontId="3" fillId="0" borderId="1" xfId="0" applyNumberFormat="1" applyFont="1" applyBorder="1"/>
    <xf numFmtId="1" fontId="3" fillId="0" borderId="17" xfId="0" applyNumberFormat="1" applyFont="1" applyBorder="1" applyAlignment="1"/>
    <xf numFmtId="0" fontId="3" fillId="0" borderId="1" xfId="0" applyFont="1" applyBorder="1"/>
    <xf numFmtId="0" fontId="3" fillId="0" borderId="17" xfId="0" applyFont="1" applyBorder="1" applyAlignment="1"/>
    <xf numFmtId="0" fontId="3" fillId="0" borderId="1" xfId="0" applyFont="1" applyFill="1" applyBorder="1"/>
    <xf numFmtId="164" fontId="2" fillId="0" borderId="0" xfId="0" applyNumberFormat="1" applyFont="1" applyBorder="1"/>
    <xf numFmtId="166" fontId="4" fillId="0" borderId="0" xfId="1" applyNumberFormat="1" applyFont="1" applyFill="1" applyBorder="1" applyAlignment="1" applyProtection="1">
      <alignment horizontal="center"/>
      <protection locked="0"/>
    </xf>
    <xf numFmtId="0" fontId="3" fillId="4" borderId="1" xfId="0" applyFont="1" applyFill="1" applyBorder="1"/>
    <xf numFmtId="0" fontId="3" fillId="0" borderId="0" xfId="0" applyFont="1"/>
    <xf numFmtId="0" fontId="7" fillId="0" borderId="10" xfId="0" applyFont="1" applyBorder="1" applyAlignment="1">
      <alignment vertical="top"/>
    </xf>
    <xf numFmtId="0" fontId="3" fillId="0" borderId="0" xfId="0" applyFont="1" applyBorder="1"/>
    <xf numFmtId="0" fontId="7" fillId="0" borderId="0" xfId="0" applyFont="1" applyBorder="1"/>
    <xf numFmtId="0" fontId="3" fillId="0" borderId="4" xfId="0" applyFont="1" applyBorder="1" applyAlignment="1"/>
    <xf numFmtId="0" fontId="3" fillId="0" borderId="5" xfId="0" applyFont="1" applyBorder="1" applyAlignment="1"/>
    <xf numFmtId="0" fontId="3" fillId="0" borderId="5" xfId="0" applyFont="1" applyBorder="1" applyAlignment="1">
      <alignment horizontal="right"/>
    </xf>
    <xf numFmtId="0" fontId="3" fillId="0" borderId="6" xfId="0" applyFont="1" applyBorder="1" applyAlignment="1"/>
    <xf numFmtId="0" fontId="3" fillId="0" borderId="7" xfId="0" applyFont="1" applyBorder="1" applyAlignment="1"/>
    <xf numFmtId="0" fontId="3" fillId="0" borderId="6" xfId="0" applyFont="1" applyBorder="1"/>
    <xf numFmtId="0" fontId="3" fillId="0" borderId="6" xfId="0" applyFont="1" applyFill="1" applyBorder="1"/>
    <xf numFmtId="0" fontId="3" fillId="0" borderId="8" xfId="0" applyFont="1" applyBorder="1" applyAlignment="1"/>
    <xf numFmtId="0" fontId="3" fillId="0" borderId="9" xfId="0" applyFont="1" applyBorder="1" applyAlignment="1"/>
    <xf numFmtId="0" fontId="3" fillId="0" borderId="9" xfId="0" applyFont="1" applyBorder="1" applyAlignment="1">
      <alignment horizontal="right"/>
    </xf>
    <xf numFmtId="0" fontId="3" fillId="0" borderId="8" xfId="0" applyFont="1" applyFill="1" applyBorder="1"/>
    <xf numFmtId="0" fontId="3" fillId="0" borderId="1" xfId="0" applyNumberFormat="1" applyFont="1" applyBorder="1"/>
    <xf numFmtId="167" fontId="3" fillId="0" borderId="1" xfId="0" applyNumberFormat="1" applyFont="1" applyFill="1" applyBorder="1"/>
    <xf numFmtId="2" fontId="2" fillId="5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7" xfId="0" applyFont="1" applyFill="1" applyBorder="1" applyAlignment="1">
      <alignment horizontal="right"/>
    </xf>
    <xf numFmtId="165" fontId="9" fillId="6" borderId="3" xfId="1" applyNumberFormat="1" applyFont="1" applyFill="1" applyBorder="1" applyAlignment="1">
      <alignment horizontal="left" vertical="top" wrapText="1"/>
    </xf>
    <xf numFmtId="0" fontId="6" fillId="3" borderId="3" xfId="0" applyFont="1" applyFill="1" applyBorder="1" applyAlignment="1">
      <alignment vertical="top"/>
    </xf>
    <xf numFmtId="0" fontId="6" fillId="3" borderId="20" xfId="0" applyFont="1" applyFill="1" applyBorder="1" applyAlignment="1">
      <alignment vertical="top"/>
    </xf>
    <xf numFmtId="0" fontId="6" fillId="3" borderId="3" xfId="0" applyFont="1" applyFill="1" applyBorder="1" applyAlignment="1">
      <alignment vertical="top" wrapText="1"/>
    </xf>
    <xf numFmtId="165" fontId="6" fillId="3" borderId="3" xfId="1" applyNumberFormat="1" applyFont="1" applyFill="1" applyBorder="1" applyAlignment="1">
      <alignment vertical="top" wrapText="1"/>
    </xf>
    <xf numFmtId="0" fontId="6" fillId="3" borderId="19" xfId="0" applyFont="1" applyFill="1" applyBorder="1" applyAlignment="1">
      <alignment vertical="top" wrapText="1"/>
    </xf>
    <xf numFmtId="165" fontId="6" fillId="3" borderId="3" xfId="1" applyNumberFormat="1" applyFont="1" applyFill="1" applyBorder="1" applyAlignment="1">
      <alignment horizontal="left" vertical="top" wrapText="1"/>
    </xf>
    <xf numFmtId="166" fontId="6" fillId="3" borderId="3" xfId="1" applyNumberFormat="1" applyFont="1" applyFill="1" applyBorder="1" applyAlignment="1" applyProtection="1">
      <alignment horizontal="left" vertical="top" wrapText="1"/>
      <protection locked="0"/>
    </xf>
    <xf numFmtId="41" fontId="6" fillId="3" borderId="3" xfId="1" applyNumberFormat="1" applyFont="1" applyFill="1" applyBorder="1" applyAlignment="1">
      <alignment vertical="top" wrapText="1"/>
    </xf>
    <xf numFmtId="0" fontId="10" fillId="0" borderId="0" xfId="0" applyFont="1"/>
    <xf numFmtId="164" fontId="3" fillId="0" borderId="0" xfId="0" applyNumberFormat="1" applyFont="1" applyBorder="1"/>
    <xf numFmtId="0" fontId="3" fillId="0" borderId="6" xfId="0" applyFont="1" applyFill="1" applyBorder="1" applyAlignment="1"/>
    <xf numFmtId="0" fontId="3" fillId="0" borderId="8" xfId="0" applyFont="1" applyFill="1" applyBorder="1" applyAlignment="1"/>
    <xf numFmtId="0" fontId="3" fillId="0" borderId="7" xfId="0" applyFont="1" applyFill="1" applyBorder="1" applyAlignment="1"/>
    <xf numFmtId="0" fontId="3" fillId="0" borderId="15" xfId="0" applyFont="1" applyBorder="1"/>
    <xf numFmtId="0" fontId="3" fillId="0" borderId="16" xfId="0" applyFont="1" applyBorder="1"/>
    <xf numFmtId="164" fontId="3" fillId="0" borderId="21" xfId="0" applyNumberFormat="1" applyFont="1" applyBorder="1"/>
    <xf numFmtId="0" fontId="3" fillId="0" borderId="21" xfId="0" applyFont="1" applyBorder="1"/>
    <xf numFmtId="1" fontId="2" fillId="5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/>
    <xf numFmtId="0" fontId="3" fillId="0" borderId="0" xfId="0" applyFont="1" applyBorder="1" applyAlignment="1">
      <alignment horizontal="right"/>
    </xf>
    <xf numFmtId="0" fontId="3" fillId="0" borderId="0" xfId="0" applyFont="1" applyFill="1" applyBorder="1"/>
    <xf numFmtId="0" fontId="7" fillId="0" borderId="4" xfId="0" applyFont="1" applyFill="1" applyBorder="1"/>
    <xf numFmtId="0" fontId="2" fillId="0" borderId="11" xfId="0" applyFont="1" applyBorder="1" applyAlignment="1"/>
    <xf numFmtId="0" fontId="2" fillId="0" borderId="11" xfId="0" applyFont="1" applyBorder="1" applyAlignment="1">
      <alignment horizontal="right"/>
    </xf>
    <xf numFmtId="0" fontId="2" fillId="0" borderId="11" xfId="0" applyFont="1" applyBorder="1"/>
    <xf numFmtId="0" fontId="2" fillId="0" borderId="5" xfId="0" applyFont="1" applyFill="1" applyBorder="1" applyAlignment="1"/>
    <xf numFmtId="0" fontId="2" fillId="0" borderId="7" xfId="0" applyFont="1" applyBorder="1"/>
    <xf numFmtId="0" fontId="2" fillId="0" borderId="10" xfId="0" applyFont="1" applyBorder="1"/>
    <xf numFmtId="0" fontId="2" fillId="0" borderId="9" xfId="0" applyFont="1" applyBorder="1"/>
    <xf numFmtId="166" fontId="7" fillId="0" borderId="0" xfId="1" applyNumberFormat="1" applyFont="1" applyFill="1" applyBorder="1" applyAlignment="1" applyProtection="1">
      <alignment horizontal="center"/>
      <protection locked="0"/>
    </xf>
    <xf numFmtId="0" fontId="11" fillId="7" borderId="1" xfId="0" applyFont="1" applyFill="1" applyBorder="1"/>
    <xf numFmtId="0" fontId="3" fillId="0" borderId="23" xfId="0" applyFont="1" applyBorder="1" applyAlignment="1">
      <alignment horizontal="center" vertical="center"/>
    </xf>
    <xf numFmtId="0" fontId="0" fillId="0" borderId="0" xfId="0" applyBorder="1"/>
    <xf numFmtId="166" fontId="7" fillId="4" borderId="22" xfId="1" applyNumberFormat="1" applyFont="1" applyFill="1" applyBorder="1" applyAlignment="1" applyProtection="1">
      <alignment horizontal="center"/>
      <protection locked="0"/>
    </xf>
    <xf numFmtId="166" fontId="9" fillId="8" borderId="22" xfId="1" applyNumberFormat="1" applyFont="1" applyFill="1" applyBorder="1" applyAlignment="1" applyProtection="1">
      <alignment horizontal="center"/>
      <protection locked="0"/>
    </xf>
    <xf numFmtId="0" fontId="3" fillId="0" borderId="21" xfId="0" applyFont="1" applyFill="1" applyBorder="1" applyAlignment="1"/>
    <xf numFmtId="0" fontId="13" fillId="0" borderId="1" xfId="2" applyFont="1" applyBorder="1"/>
    <xf numFmtId="0" fontId="7" fillId="9" borderId="12" xfId="0" applyFont="1" applyFill="1" applyBorder="1" applyAlignment="1"/>
    <xf numFmtId="0" fontId="3" fillId="9" borderId="13" xfId="0" applyFont="1" applyFill="1" applyBorder="1" applyAlignment="1"/>
    <xf numFmtId="0" fontId="7" fillId="2" borderId="12" xfId="0" applyFont="1" applyFill="1" applyBorder="1" applyAlignment="1"/>
    <xf numFmtId="0" fontId="7" fillId="2" borderId="13" xfId="0" applyFont="1" applyFill="1" applyBorder="1" applyAlignment="1"/>
    <xf numFmtId="0" fontId="7" fillId="2" borderId="14" xfId="0" applyFont="1" applyFill="1" applyBorder="1" applyAlignment="1"/>
    <xf numFmtId="0" fontId="7" fillId="10" borderId="13" xfId="0" applyFont="1" applyFill="1" applyBorder="1" applyAlignment="1">
      <alignment horizontal="left"/>
    </xf>
    <xf numFmtId="0" fontId="7" fillId="10" borderId="14" xfId="0" applyFont="1" applyFill="1" applyBorder="1" applyAlignment="1">
      <alignment horizontal="left"/>
    </xf>
    <xf numFmtId="0" fontId="3" fillId="5" borderId="17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8" fillId="0" borderId="4" xfId="0" applyFont="1" applyFill="1" applyBorder="1" applyAlignment="1"/>
    <xf numFmtId="0" fontId="8" fillId="0" borderId="15" xfId="0" applyFont="1" applyFill="1" applyBorder="1" applyAlignment="1"/>
    <xf numFmtId="0" fontId="8" fillId="11" borderId="0" xfId="0" applyFont="1" applyFill="1"/>
  </cellXfs>
  <cellStyles count="3">
    <cellStyle name="Comma" xfId="1" builtinId="3"/>
    <cellStyle name="Hyperlink" xfId="2" builtinId="8"/>
    <cellStyle name="Normal" xfId="0" builtinId="0"/>
  </cellStyles>
  <dxfs count="161">
    <dxf>
      <font>
        <color theme="0"/>
      </font>
      <fill>
        <patternFill>
          <bgColor theme="6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6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6"/>
        </patternFill>
      </fill>
      <border>
        <vertical/>
        <horizontal/>
      </border>
    </dxf>
    <dxf>
      <font>
        <color theme="0"/>
      </font>
      <fill>
        <patternFill>
          <bgColor theme="6"/>
        </patternFill>
      </fill>
      <border>
        <vertical/>
        <horizontal/>
      </border>
    </dxf>
    <dxf>
      <font>
        <color theme="0"/>
      </font>
      <fill>
        <patternFill>
          <bgColor theme="6"/>
        </patternFill>
      </fill>
      <border>
        <vertical/>
        <horizontal/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5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</dxf>
    <dxf>
      <font>
        <b val="0"/>
        <i val="0"/>
        <color theme="6" tint="-0.2499465926084170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9"/>
        </patternFill>
      </fill>
    </dxf>
    <dxf>
      <font>
        <color theme="0"/>
      </font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emf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emf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4</xdr:row>
      <xdr:rowOff>0</xdr:rowOff>
    </xdr:from>
    <xdr:to>
      <xdr:col>20</xdr:col>
      <xdr:colOff>304800</xdr:colOff>
      <xdr:row>5</xdr:row>
      <xdr:rowOff>129540</xdr:rowOff>
    </xdr:to>
    <xdr:sp macro="" textlink="">
      <xdr:nvSpPr>
        <xdr:cNvPr id="1026" name="AutoShape 2" descr="Dongguan Sunland Technology Co., LTD Trademarks (3) from Trademarkia - page  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11574780" y="1386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0</xdr:row>
          <xdr:rowOff>0</xdr:rowOff>
        </xdr:from>
        <xdr:to>
          <xdr:col>5</xdr:col>
          <xdr:colOff>670560</xdr:colOff>
          <xdr:row>5</xdr:row>
          <xdr:rowOff>53340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676935CE-5FE1-497C-9685-7E8E16EDD95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Scenario''s'!$W$2:$Z$6" spid="_x0000_s13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217420" y="175260"/>
              <a:ext cx="3802380" cy="8610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777240</xdr:colOff>
          <xdr:row>0</xdr:row>
          <xdr:rowOff>41562</xdr:rowOff>
        </xdr:from>
        <xdr:to>
          <xdr:col>20</xdr:col>
          <xdr:colOff>68580</xdr:colOff>
          <xdr:row>10</xdr:row>
          <xdr:rowOff>32078</xdr:rowOff>
        </xdr:to>
        <xdr:pic>
          <xdr:nvPicPr>
            <xdr:cNvPr id="10" name="Picture 9">
              <a:extLst>
                <a:ext uri="{FF2B5EF4-FFF2-40B4-BE49-F238E27FC236}">
                  <a16:creationId xmlns:a16="http://schemas.microsoft.com/office/drawing/2014/main" id="{9DEDA9DF-53E3-4689-B55B-05FABF52960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Scenario''s'!$A$9:$T$13" spid="_x0000_s136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132022" y="41562"/>
              <a:ext cx="8386156" cy="159764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25400</xdr:colOff>
      <xdr:row>14</xdr:row>
      <xdr:rowOff>25400</xdr:rowOff>
    </xdr:from>
    <xdr:to>
      <xdr:col>0</xdr:col>
      <xdr:colOff>736600</xdr:colOff>
      <xdr:row>14</xdr:row>
      <xdr:rowOff>736600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778E8994-EEB2-4174-BDCE-DC3B4D8A1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9720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736600</xdr:colOff>
      <xdr:row>15</xdr:row>
      <xdr:rowOff>736600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4380327-940B-43B1-9C3B-052A5BB49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43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736600</xdr:colOff>
      <xdr:row>16</xdr:row>
      <xdr:rowOff>736600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2C558055-9E78-4A5D-AA3B-D438AB298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05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736600</xdr:colOff>
      <xdr:row>17</xdr:row>
      <xdr:rowOff>736600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727C37C9-F69E-46BC-BFF8-757FA81B4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67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736600</xdr:colOff>
      <xdr:row>18</xdr:row>
      <xdr:rowOff>736600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2BD3F031-9363-47E0-B2CA-C68464D6B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29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736600</xdr:colOff>
      <xdr:row>19</xdr:row>
      <xdr:rowOff>736600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90823FA5-EF5D-439B-B571-BDF39D10E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91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736600</xdr:colOff>
      <xdr:row>20</xdr:row>
      <xdr:rowOff>736600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5D3000-DDA7-4C45-B403-DBFD1640D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53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736600</xdr:colOff>
      <xdr:row>21</xdr:row>
      <xdr:rowOff>736600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C19971C0-B341-4C3E-A6B9-53028F180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315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736600</xdr:colOff>
      <xdr:row>22</xdr:row>
      <xdr:rowOff>736600</xdr:rowOff>
    </xdr:to>
    <xdr:pic>
      <xdr:nvPicPr>
        <xdr:cNvPr id="1025" name="Picture 1024">
          <a:extLst>
            <a:ext uri="{FF2B5EF4-FFF2-40B4-BE49-F238E27FC236}">
              <a16:creationId xmlns:a16="http://schemas.microsoft.com/office/drawing/2014/main" id="{0C468428-3E2E-4666-9C2F-05C2C3A7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77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736600</xdr:colOff>
      <xdr:row>23</xdr:row>
      <xdr:rowOff>736600</xdr:rowOff>
    </xdr:to>
    <xdr:pic>
      <xdr:nvPicPr>
        <xdr:cNvPr id="1028" name="Picture 1027">
          <a:extLst>
            <a:ext uri="{FF2B5EF4-FFF2-40B4-BE49-F238E27FC236}">
              <a16:creationId xmlns:a16="http://schemas.microsoft.com/office/drawing/2014/main" id="{6380F28C-41D3-49A2-B5AE-D5D51E68C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39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736600</xdr:colOff>
      <xdr:row>24</xdr:row>
      <xdr:rowOff>736600</xdr:rowOff>
    </xdr:to>
    <xdr:pic>
      <xdr:nvPicPr>
        <xdr:cNvPr id="1030" name="Picture 1029">
          <a:extLst>
            <a:ext uri="{FF2B5EF4-FFF2-40B4-BE49-F238E27FC236}">
              <a16:creationId xmlns:a16="http://schemas.microsoft.com/office/drawing/2014/main" id="{E05224A8-EC21-428C-A0D4-8DC0B5C6F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601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736600</xdr:colOff>
      <xdr:row>25</xdr:row>
      <xdr:rowOff>736600</xdr:rowOff>
    </xdr:to>
    <xdr:pic>
      <xdr:nvPicPr>
        <xdr:cNvPr id="1032" name="Picture 1031">
          <a:extLst>
            <a:ext uri="{FF2B5EF4-FFF2-40B4-BE49-F238E27FC236}">
              <a16:creationId xmlns:a16="http://schemas.microsoft.com/office/drawing/2014/main" id="{04D0FC44-2CFD-452C-A74B-2E342CF59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63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736600</xdr:colOff>
      <xdr:row>26</xdr:row>
      <xdr:rowOff>736600</xdr:rowOff>
    </xdr:to>
    <xdr:pic>
      <xdr:nvPicPr>
        <xdr:cNvPr id="1034" name="Picture 1033">
          <a:extLst>
            <a:ext uri="{FF2B5EF4-FFF2-40B4-BE49-F238E27FC236}">
              <a16:creationId xmlns:a16="http://schemas.microsoft.com/office/drawing/2014/main" id="{EB9438D9-2794-42CB-949B-4F1357331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125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736600</xdr:colOff>
      <xdr:row>27</xdr:row>
      <xdr:rowOff>736600</xdr:rowOff>
    </xdr:to>
    <xdr:pic>
      <xdr:nvPicPr>
        <xdr:cNvPr id="1036" name="Picture 1035">
          <a:extLst>
            <a:ext uri="{FF2B5EF4-FFF2-40B4-BE49-F238E27FC236}">
              <a16:creationId xmlns:a16="http://schemas.microsoft.com/office/drawing/2014/main" id="{8F93EA27-FA37-45E6-8E08-5EC291AFB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87960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25401</xdr:rowOff>
    </xdr:from>
    <xdr:to>
      <xdr:col>0</xdr:col>
      <xdr:colOff>736600</xdr:colOff>
      <xdr:row>28</xdr:row>
      <xdr:rowOff>736601</xdr:rowOff>
    </xdr:to>
    <xdr:pic>
      <xdr:nvPicPr>
        <xdr:cNvPr id="1038" name="Picture 1037">
          <a:extLst>
            <a:ext uri="{FF2B5EF4-FFF2-40B4-BE49-F238E27FC236}">
              <a16:creationId xmlns:a16="http://schemas.microsoft.com/office/drawing/2014/main" id="{0067671E-A180-487B-AAC1-CA5EA819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649961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25401</xdr:rowOff>
    </xdr:from>
    <xdr:to>
      <xdr:col>0</xdr:col>
      <xdr:colOff>736600</xdr:colOff>
      <xdr:row>29</xdr:row>
      <xdr:rowOff>736601</xdr:rowOff>
    </xdr:to>
    <xdr:pic>
      <xdr:nvPicPr>
        <xdr:cNvPr id="1040" name="Picture 1039">
          <a:extLst>
            <a:ext uri="{FF2B5EF4-FFF2-40B4-BE49-F238E27FC236}">
              <a16:creationId xmlns:a16="http://schemas.microsoft.com/office/drawing/2014/main" id="{39E20B2E-1828-414C-B6A0-AC6219E91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411961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25401</xdr:rowOff>
    </xdr:from>
    <xdr:to>
      <xdr:col>0</xdr:col>
      <xdr:colOff>736600</xdr:colOff>
      <xdr:row>30</xdr:row>
      <xdr:rowOff>736601</xdr:rowOff>
    </xdr:to>
    <xdr:pic>
      <xdr:nvPicPr>
        <xdr:cNvPr id="1042" name="Picture 1041">
          <a:extLst>
            <a:ext uri="{FF2B5EF4-FFF2-40B4-BE49-F238E27FC236}">
              <a16:creationId xmlns:a16="http://schemas.microsoft.com/office/drawing/2014/main" id="{E015012B-D0B8-41DC-A62C-B9B5929D8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173961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25401</xdr:rowOff>
    </xdr:from>
    <xdr:to>
      <xdr:col>0</xdr:col>
      <xdr:colOff>736600</xdr:colOff>
      <xdr:row>31</xdr:row>
      <xdr:rowOff>736601</xdr:rowOff>
    </xdr:to>
    <xdr:pic>
      <xdr:nvPicPr>
        <xdr:cNvPr id="1044" name="Picture 1043">
          <a:extLst>
            <a:ext uri="{FF2B5EF4-FFF2-40B4-BE49-F238E27FC236}">
              <a16:creationId xmlns:a16="http://schemas.microsoft.com/office/drawing/2014/main" id="{0FBC74B6-6CD9-46C5-8781-A6251B981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935961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25401</xdr:rowOff>
    </xdr:from>
    <xdr:to>
      <xdr:col>0</xdr:col>
      <xdr:colOff>736600</xdr:colOff>
      <xdr:row>32</xdr:row>
      <xdr:rowOff>736601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0285D567-4A56-42D6-A838-C0A2908AF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697961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25401</xdr:rowOff>
    </xdr:from>
    <xdr:to>
      <xdr:col>0</xdr:col>
      <xdr:colOff>736600</xdr:colOff>
      <xdr:row>33</xdr:row>
      <xdr:rowOff>736601</xdr:rowOff>
    </xdr:to>
    <xdr:pic>
      <xdr:nvPicPr>
        <xdr:cNvPr id="1048" name="Picture 1047">
          <a:extLst>
            <a:ext uri="{FF2B5EF4-FFF2-40B4-BE49-F238E27FC236}">
              <a16:creationId xmlns:a16="http://schemas.microsoft.com/office/drawing/2014/main" id="{92495A47-7017-4240-8C33-72BA9328C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459961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25401</xdr:rowOff>
    </xdr:from>
    <xdr:to>
      <xdr:col>0</xdr:col>
      <xdr:colOff>736600</xdr:colOff>
      <xdr:row>34</xdr:row>
      <xdr:rowOff>736601</xdr:rowOff>
    </xdr:to>
    <xdr:pic>
      <xdr:nvPicPr>
        <xdr:cNvPr id="1050" name="Picture 1049">
          <a:extLst>
            <a:ext uri="{FF2B5EF4-FFF2-40B4-BE49-F238E27FC236}">
              <a16:creationId xmlns:a16="http://schemas.microsoft.com/office/drawing/2014/main" id="{3DD80A5C-4AD1-4AD3-B2A4-01128153B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221961"/>
          <a:ext cx="711200" cy="71120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25401</xdr:rowOff>
    </xdr:from>
    <xdr:to>
      <xdr:col>0</xdr:col>
      <xdr:colOff>736600</xdr:colOff>
      <xdr:row>35</xdr:row>
      <xdr:rowOff>736601</xdr:rowOff>
    </xdr:to>
    <xdr:pic>
      <xdr:nvPicPr>
        <xdr:cNvPr id="1052" name="Picture 1051">
          <a:extLst>
            <a:ext uri="{FF2B5EF4-FFF2-40B4-BE49-F238E27FC236}">
              <a16:creationId xmlns:a16="http://schemas.microsoft.com/office/drawing/2014/main" id="{F0E05FBC-30B0-4992-A628-82D8A5BC5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983961"/>
          <a:ext cx="711200" cy="71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495"/>
  <sheetViews>
    <sheetView showGridLines="0" tabSelected="1" zoomScale="90" zoomScaleNormal="90" workbookViewId="0">
      <pane ySplit="14" topLeftCell="A15" activePane="bottomLeft" state="frozen"/>
      <selection pane="bottomLeft" activeCell="E18" sqref="E18"/>
    </sheetView>
  </sheetViews>
  <sheetFormatPr defaultColWidth="9" defaultRowHeight="15" customHeight="1" x14ac:dyDescent="0.25"/>
  <cols>
    <col min="1" max="1" width="15.625" style="7" customWidth="1"/>
    <col min="2" max="2" width="9.875" style="7" customWidth="1"/>
    <col min="3" max="3" width="14.375" style="7" bestFit="1" customWidth="1"/>
    <col min="4" max="4" width="9.875" style="7" customWidth="1"/>
    <col min="5" max="5" width="44.625" style="7" bestFit="1" customWidth="1"/>
    <col min="6" max="6" width="14.625" style="7" customWidth="1"/>
    <col min="7" max="7" width="8.125" style="7" customWidth="1"/>
    <col min="8" max="8" width="15.625" style="7" bestFit="1" customWidth="1"/>
    <col min="9" max="9" width="8.875" style="7" bestFit="1" customWidth="1"/>
    <col min="10" max="10" width="10.625" style="7" customWidth="1"/>
    <col min="11" max="11" width="10" style="7" bestFit="1" customWidth="1"/>
    <col min="12" max="12" width="8.5" style="7" customWidth="1"/>
    <col min="13" max="13" width="9.125" style="7" customWidth="1"/>
    <col min="14" max="14" width="7.375" style="7" bestFit="1" customWidth="1"/>
    <col min="15" max="15" width="10.5" style="21" customWidth="1"/>
    <col min="16" max="17" width="9.125" style="7" bestFit="1" customWidth="1"/>
    <col min="18" max="18" width="10.375" style="7" bestFit="1" customWidth="1"/>
    <col min="19" max="20" width="8.5" style="7" customWidth="1"/>
    <col min="21" max="16384" width="9" style="7"/>
  </cols>
  <sheetData>
    <row r="1" spans="1:22" s="1" customFormat="1" ht="12.6" thickBot="1" x14ac:dyDescent="0.3">
      <c r="A1" s="20" t="s">
        <v>2</v>
      </c>
      <c r="B1" s="20"/>
      <c r="C1" s="21"/>
      <c r="D1" s="19"/>
      <c r="E1" s="22"/>
      <c r="F1" s="19"/>
      <c r="H1" s="19"/>
      <c r="I1" s="19"/>
      <c r="J1" s="19"/>
      <c r="K1" s="19"/>
      <c r="L1" s="19"/>
      <c r="M1" s="19"/>
      <c r="N1" s="19"/>
      <c r="P1" s="19"/>
    </row>
    <row r="2" spans="1:22" s="1" customFormat="1" ht="13.2" customHeight="1" x14ac:dyDescent="0.25">
      <c r="A2" s="23" t="s">
        <v>3</v>
      </c>
      <c r="B2" s="24"/>
      <c r="C2" s="25" t="s">
        <v>4</v>
      </c>
      <c r="D2" s="19"/>
      <c r="E2" s="19"/>
      <c r="F2" s="19"/>
      <c r="H2" s="21"/>
      <c r="I2" s="21"/>
      <c r="J2" s="21"/>
      <c r="K2" s="21"/>
      <c r="L2" s="21"/>
      <c r="M2" s="21"/>
      <c r="N2" s="21"/>
      <c r="P2" s="21"/>
    </row>
    <row r="3" spans="1:22" s="1" customFormat="1" ht="12" x14ac:dyDescent="0.25">
      <c r="A3" s="26" t="s">
        <v>5</v>
      </c>
      <c r="B3" s="27"/>
      <c r="C3" s="38" t="s">
        <v>61</v>
      </c>
      <c r="D3" s="19"/>
      <c r="E3" s="19"/>
      <c r="F3" s="19"/>
      <c r="H3" s="21"/>
      <c r="I3" s="21"/>
      <c r="J3" s="21"/>
      <c r="K3" s="21"/>
      <c r="L3" s="21"/>
      <c r="M3" s="21"/>
      <c r="N3" s="21"/>
      <c r="P3" s="21"/>
    </row>
    <row r="4" spans="1:22" s="1" customFormat="1" ht="12" x14ac:dyDescent="0.25">
      <c r="A4" s="26" t="s">
        <v>6</v>
      </c>
      <c r="B4" s="27"/>
      <c r="C4" s="38" t="s">
        <v>7</v>
      </c>
      <c r="D4" s="19"/>
      <c r="E4" s="19"/>
      <c r="F4" s="19"/>
      <c r="H4" s="21"/>
      <c r="I4" s="21"/>
      <c r="J4" s="21"/>
      <c r="K4" s="21"/>
      <c r="L4" s="21"/>
      <c r="M4" s="21"/>
      <c r="N4" s="21"/>
      <c r="P4" s="21"/>
    </row>
    <row r="5" spans="1:22" s="1" customFormat="1" ht="13.95" customHeight="1" thickBot="1" x14ac:dyDescent="0.3">
      <c r="A5" s="30" t="s">
        <v>8</v>
      </c>
      <c r="B5" s="31"/>
      <c r="C5" s="32">
        <v>12</v>
      </c>
      <c r="D5" s="19"/>
      <c r="E5" s="19"/>
      <c r="F5" s="19"/>
      <c r="H5" s="21"/>
      <c r="I5" s="21"/>
      <c r="J5" s="21"/>
      <c r="K5" s="21"/>
      <c r="L5" s="21"/>
      <c r="M5" s="21"/>
      <c r="N5" s="21"/>
      <c r="P5" s="21"/>
    </row>
    <row r="6" spans="1:22" s="1" customFormat="1" ht="13.95" customHeight="1" thickBot="1" x14ac:dyDescent="0.3">
      <c r="A6" s="58"/>
      <c r="B6" s="58"/>
      <c r="C6" s="59"/>
      <c r="D6" s="19"/>
      <c r="E6" s="19"/>
      <c r="F6" s="19"/>
      <c r="G6" s="60"/>
      <c r="H6" s="21"/>
      <c r="I6" s="21"/>
      <c r="J6" s="21"/>
      <c r="K6" s="21"/>
      <c r="L6" s="21"/>
      <c r="M6" s="21"/>
      <c r="N6" s="21"/>
      <c r="P6" s="21"/>
    </row>
    <row r="7" spans="1:22" s="1" customFormat="1" ht="13.95" customHeight="1" x14ac:dyDescent="0.25">
      <c r="A7" s="61" t="s">
        <v>12</v>
      </c>
      <c r="B7" s="62"/>
      <c r="C7" s="63"/>
      <c r="D7" s="64"/>
      <c r="E7" s="65"/>
      <c r="F7" s="16"/>
      <c r="H7" s="8"/>
      <c r="I7" s="7"/>
      <c r="J7" s="7"/>
      <c r="K7" s="7"/>
      <c r="L7" s="7"/>
      <c r="M7" s="7"/>
      <c r="N7" s="7"/>
      <c r="O7" s="7"/>
    </row>
    <row r="8" spans="1:22" s="1" customFormat="1" ht="12" x14ac:dyDescent="0.25">
      <c r="A8" s="28" t="s">
        <v>13</v>
      </c>
      <c r="B8" s="7"/>
      <c r="C8" s="7"/>
      <c r="D8" s="7"/>
      <c r="E8" s="66"/>
    </row>
    <row r="9" spans="1:22" s="1" customFormat="1" ht="12" x14ac:dyDescent="0.25">
      <c r="A9" s="28" t="s">
        <v>14</v>
      </c>
      <c r="B9" s="7"/>
      <c r="C9" s="7"/>
      <c r="D9" s="7"/>
      <c r="E9" s="66"/>
      <c r="P9" s="17"/>
    </row>
    <row r="10" spans="1:22" s="1" customFormat="1" ht="12" x14ac:dyDescent="0.25">
      <c r="A10" s="29" t="s">
        <v>15</v>
      </c>
      <c r="B10" s="7"/>
      <c r="C10" s="7"/>
      <c r="D10" s="7"/>
      <c r="E10" s="66"/>
      <c r="P10" s="69"/>
    </row>
    <row r="11" spans="1:22" s="1" customFormat="1" ht="12.6" thickBot="1" x14ac:dyDescent="0.3">
      <c r="A11" s="33" t="s">
        <v>51</v>
      </c>
      <c r="B11" s="67"/>
      <c r="C11" s="67"/>
      <c r="D11" s="67"/>
      <c r="E11" s="68"/>
      <c r="O11" s="48" t="s">
        <v>63</v>
      </c>
      <c r="P11" s="69"/>
    </row>
    <row r="12" spans="1:22" s="1" customFormat="1" ht="12.6" thickBot="1" x14ac:dyDescent="0.3">
      <c r="O12" s="74" t="s">
        <v>62</v>
      </c>
      <c r="P12" s="73" t="s">
        <v>34</v>
      </c>
    </row>
    <row r="13" spans="1:22" s="1" customFormat="1" ht="20.399999999999999" customHeight="1" thickBot="1" x14ac:dyDescent="0.3">
      <c r="A13" s="79" t="s">
        <v>16</v>
      </c>
      <c r="B13" s="80"/>
      <c r="C13" s="80"/>
      <c r="D13" s="80"/>
      <c r="E13" s="80"/>
      <c r="F13" s="80"/>
      <c r="G13" s="80"/>
      <c r="H13" s="80"/>
      <c r="I13" s="81"/>
      <c r="J13" s="77" t="s">
        <v>17</v>
      </c>
      <c r="K13" s="78"/>
      <c r="L13" s="78"/>
      <c r="M13" s="78"/>
      <c r="N13" s="78"/>
      <c r="O13" s="82" t="s">
        <v>18</v>
      </c>
      <c r="P13" s="82"/>
      <c r="Q13" s="82"/>
      <c r="R13" s="82"/>
      <c r="S13" s="82"/>
      <c r="T13" s="82"/>
      <c r="U13" s="82"/>
      <c r="V13" s="83"/>
    </row>
    <row r="14" spans="1:22" s="1" customFormat="1" ht="60" customHeight="1" x14ac:dyDescent="0.25">
      <c r="A14" s="40" t="s">
        <v>19</v>
      </c>
      <c r="B14" s="40" t="s">
        <v>20</v>
      </c>
      <c r="C14" s="41" t="s">
        <v>21</v>
      </c>
      <c r="D14" s="40" t="s">
        <v>22</v>
      </c>
      <c r="E14" s="41" t="s">
        <v>23</v>
      </c>
      <c r="F14" s="40" t="s">
        <v>24</v>
      </c>
      <c r="G14" s="41" t="s">
        <v>25</v>
      </c>
      <c r="H14" s="42" t="s">
        <v>44</v>
      </c>
      <c r="I14" s="43" t="s">
        <v>26</v>
      </c>
      <c r="J14" s="44" t="s">
        <v>27</v>
      </c>
      <c r="K14" s="42" t="s">
        <v>50</v>
      </c>
      <c r="L14" s="42" t="s">
        <v>47</v>
      </c>
      <c r="M14" s="40" t="s">
        <v>28</v>
      </c>
      <c r="N14" s="45" t="s">
        <v>29</v>
      </c>
      <c r="O14" s="39" t="s">
        <v>62</v>
      </c>
      <c r="P14" s="46" t="s">
        <v>30</v>
      </c>
      <c r="Q14" s="47" t="s">
        <v>31</v>
      </c>
      <c r="R14" s="43" t="s">
        <v>32</v>
      </c>
      <c r="S14" s="47" t="s">
        <v>33</v>
      </c>
      <c r="T14" s="47" t="s">
        <v>48</v>
      </c>
      <c r="U14" s="47" t="s">
        <v>140</v>
      </c>
      <c r="V14" s="47" t="s">
        <v>141</v>
      </c>
    </row>
    <row r="15" spans="1:22" s="1" customFormat="1" ht="60" customHeight="1" x14ac:dyDescent="0.3">
      <c r="A15" s="9"/>
      <c r="B15" s="76" t="str">
        <f>HYPERLINK(CONCATENATE("https://pim.edelman.nl/products/",D15,"/",D15,"01",".jpg"),"Click here")</f>
        <v>Click here</v>
      </c>
      <c r="C15" s="12" t="s">
        <v>82</v>
      </c>
      <c r="D15" s="34" t="s">
        <v>83</v>
      </c>
      <c r="E15" s="14" t="s">
        <v>84</v>
      </c>
      <c r="F15" s="13" t="s">
        <v>67</v>
      </c>
      <c r="G15" s="14" t="s">
        <v>45</v>
      </c>
      <c r="H15" s="11" t="s">
        <v>70</v>
      </c>
      <c r="I15" s="11">
        <v>26.067386585365853</v>
      </c>
      <c r="J15" s="14" t="s">
        <v>57</v>
      </c>
      <c r="K15" s="15" t="s">
        <v>58</v>
      </c>
      <c r="L15" s="15">
        <v>0</v>
      </c>
      <c r="M15" s="35">
        <v>3.8091800000000002E-2</v>
      </c>
      <c r="N15" s="13">
        <v>1</v>
      </c>
      <c r="O15" s="70"/>
      <c r="P15" s="18"/>
      <c r="Q15" s="13">
        <f>P15*N15</f>
        <v>0</v>
      </c>
      <c r="R15" s="11">
        <f t="shared" ref="R15" si="0">I15*Q15</f>
        <v>0</v>
      </c>
      <c r="S15" s="13">
        <f>IFERROR(M15*P15, 0)</f>
        <v>0</v>
      </c>
      <c r="T15" s="13">
        <f>IF(OR(K15=" 115 x 77 ", K15 = "115 x 77"), P15,0)</f>
        <v>0</v>
      </c>
      <c r="U15" s="13">
        <f>IF(OR(K15=" 115 x 108 ", K15 = "115 x 108"), P15,0)</f>
        <v>0</v>
      </c>
      <c r="V15" s="13">
        <f>IF(OR(K15=" 115 x 115 ", K15 = "115 x 115"), P15,0)</f>
        <v>0</v>
      </c>
    </row>
    <row r="16" spans="1:22" s="1" customFormat="1" ht="60" customHeight="1" x14ac:dyDescent="0.3">
      <c r="A16" s="9"/>
      <c r="B16" s="76" t="str">
        <f t="shared" ref="B16:B79" si="1">HYPERLINK(CONCATENATE("https://pim.edelman.nl/products/",D16,"/",D16,"01",".jpg"),"Click here")</f>
        <v>Click here</v>
      </c>
      <c r="C16" s="12" t="s">
        <v>91</v>
      </c>
      <c r="D16" s="34" t="s">
        <v>92</v>
      </c>
      <c r="E16" s="14" t="s">
        <v>93</v>
      </c>
      <c r="F16" s="13" t="s">
        <v>67</v>
      </c>
      <c r="G16" s="14" t="s">
        <v>46</v>
      </c>
      <c r="H16" s="11" t="s">
        <v>68</v>
      </c>
      <c r="I16" s="11">
        <v>42.938448292682921</v>
      </c>
      <c r="J16" s="14" t="s">
        <v>57</v>
      </c>
      <c r="K16" s="15" t="s">
        <v>58</v>
      </c>
      <c r="L16" s="15">
        <v>0</v>
      </c>
      <c r="M16" s="35">
        <v>6.232509E-2</v>
      </c>
      <c r="N16" s="13">
        <v>1</v>
      </c>
      <c r="O16" s="70"/>
      <c r="P16" s="18"/>
      <c r="Q16" s="13">
        <f t="shared" ref="Q16:Q79" si="2">P16*N16</f>
        <v>0</v>
      </c>
      <c r="R16" s="11">
        <f t="shared" ref="R16:R55" si="3">I16*Q16</f>
        <v>0</v>
      </c>
      <c r="S16" s="13">
        <f t="shared" ref="S16:S55" si="4">IFERROR(M16*P16, 0)</f>
        <v>0</v>
      </c>
      <c r="T16" s="13">
        <f t="shared" ref="T16:T55" si="5">IF(OR(K16=" 115 x 77 ", K16 = "115 x 77"), P16,0)</f>
        <v>0</v>
      </c>
      <c r="U16" s="13">
        <f t="shared" ref="U16:U55" si="6">IF(OR(K16=" 115 x 108 ", K16 = "115 x 108"), P16,0)</f>
        <v>0</v>
      </c>
      <c r="V16" s="13">
        <f t="shared" ref="V16:V55" si="7">IF(OR(K16=" 115 x 115 ", K16 = "115 x 115"), P16,0)</f>
        <v>0</v>
      </c>
    </row>
    <row r="17" spans="1:22" s="1" customFormat="1" ht="60" customHeight="1" x14ac:dyDescent="0.3">
      <c r="A17" s="9"/>
      <c r="B17" s="76" t="str">
        <f t="shared" si="1"/>
        <v>Click here</v>
      </c>
      <c r="C17" s="12" t="s">
        <v>88</v>
      </c>
      <c r="D17" s="34" t="s">
        <v>89</v>
      </c>
      <c r="E17" s="14" t="s">
        <v>90</v>
      </c>
      <c r="F17" s="13" t="s">
        <v>67</v>
      </c>
      <c r="G17" s="14" t="s">
        <v>66</v>
      </c>
      <c r="H17" s="11" t="s">
        <v>70</v>
      </c>
      <c r="I17" s="11">
        <v>26.067386585365853</v>
      </c>
      <c r="J17" s="14" t="s">
        <v>57</v>
      </c>
      <c r="K17" s="15" t="s">
        <v>58</v>
      </c>
      <c r="L17" s="15">
        <v>0</v>
      </c>
      <c r="M17" s="35">
        <v>3.8091800000000002E-2</v>
      </c>
      <c r="N17" s="13">
        <v>1</v>
      </c>
      <c r="O17" s="70"/>
      <c r="P17" s="18"/>
      <c r="Q17" s="13">
        <f t="shared" si="2"/>
        <v>0</v>
      </c>
      <c r="R17" s="11">
        <f t="shared" si="3"/>
        <v>0</v>
      </c>
      <c r="S17" s="13">
        <f t="shared" si="4"/>
        <v>0</v>
      </c>
      <c r="T17" s="13">
        <f t="shared" si="5"/>
        <v>0</v>
      </c>
      <c r="U17" s="13">
        <f t="shared" si="6"/>
        <v>0</v>
      </c>
      <c r="V17" s="13">
        <f t="shared" si="7"/>
        <v>0</v>
      </c>
    </row>
    <row r="18" spans="1:22" s="1" customFormat="1" ht="60" customHeight="1" x14ac:dyDescent="0.3">
      <c r="A18" s="9"/>
      <c r="B18" s="76" t="str">
        <f t="shared" si="1"/>
        <v>Click here</v>
      </c>
      <c r="C18" s="12" t="s">
        <v>79</v>
      </c>
      <c r="D18" s="34" t="s">
        <v>80</v>
      </c>
      <c r="E18" s="14" t="s">
        <v>81</v>
      </c>
      <c r="F18" s="13" t="s">
        <v>67</v>
      </c>
      <c r="G18" s="14" t="s">
        <v>45</v>
      </c>
      <c r="H18" s="11" t="s">
        <v>68</v>
      </c>
      <c r="I18" s="11">
        <v>42.938448292682921</v>
      </c>
      <c r="J18" s="14" t="s">
        <v>57</v>
      </c>
      <c r="K18" s="15" t="s">
        <v>58</v>
      </c>
      <c r="L18" s="15">
        <v>0</v>
      </c>
      <c r="M18" s="35">
        <v>6.232509E-2</v>
      </c>
      <c r="N18" s="13">
        <v>1</v>
      </c>
      <c r="O18" s="70"/>
      <c r="P18" s="18"/>
      <c r="Q18" s="13">
        <f t="shared" si="2"/>
        <v>0</v>
      </c>
      <c r="R18" s="11">
        <f t="shared" si="3"/>
        <v>0</v>
      </c>
      <c r="S18" s="13">
        <f t="shared" si="4"/>
        <v>0</v>
      </c>
      <c r="T18" s="13">
        <f t="shared" si="5"/>
        <v>0</v>
      </c>
      <c r="U18" s="13">
        <f t="shared" si="6"/>
        <v>0</v>
      </c>
      <c r="V18" s="13">
        <f t="shared" si="7"/>
        <v>0</v>
      </c>
    </row>
    <row r="19" spans="1:22" s="1" customFormat="1" ht="60" customHeight="1" x14ac:dyDescent="0.3">
      <c r="A19" s="9"/>
      <c r="B19" s="76" t="str">
        <f t="shared" si="1"/>
        <v>Click here</v>
      </c>
      <c r="C19" s="12" t="s">
        <v>100</v>
      </c>
      <c r="D19" s="34" t="s">
        <v>101</v>
      </c>
      <c r="E19" s="14" t="s">
        <v>102</v>
      </c>
      <c r="F19" s="13" t="s">
        <v>67</v>
      </c>
      <c r="G19" s="14" t="s">
        <v>46</v>
      </c>
      <c r="H19" s="11" t="s">
        <v>70</v>
      </c>
      <c r="I19" s="11">
        <v>26.067386585365853</v>
      </c>
      <c r="J19" s="14" t="s">
        <v>57</v>
      </c>
      <c r="K19" s="15" t="s">
        <v>58</v>
      </c>
      <c r="L19" s="15">
        <v>0</v>
      </c>
      <c r="M19" s="35">
        <v>3.8091800000000002E-2</v>
      </c>
      <c r="N19" s="13">
        <v>1</v>
      </c>
      <c r="O19" s="70"/>
      <c r="P19" s="18"/>
      <c r="Q19" s="13">
        <f t="shared" si="2"/>
        <v>0</v>
      </c>
      <c r="R19" s="11">
        <f t="shared" si="3"/>
        <v>0</v>
      </c>
      <c r="S19" s="13">
        <f t="shared" si="4"/>
        <v>0</v>
      </c>
      <c r="T19" s="13">
        <f t="shared" si="5"/>
        <v>0</v>
      </c>
      <c r="U19" s="13">
        <f t="shared" si="6"/>
        <v>0</v>
      </c>
      <c r="V19" s="13">
        <f t="shared" si="7"/>
        <v>0</v>
      </c>
    </row>
    <row r="20" spans="1:22" s="1" customFormat="1" ht="60" customHeight="1" x14ac:dyDescent="0.3">
      <c r="A20" s="9"/>
      <c r="B20" s="76" t="str">
        <f t="shared" si="1"/>
        <v>Click here</v>
      </c>
      <c r="C20" s="12" t="s">
        <v>97</v>
      </c>
      <c r="D20" s="34" t="s">
        <v>98</v>
      </c>
      <c r="E20" s="14" t="s">
        <v>99</v>
      </c>
      <c r="F20" s="13" t="s">
        <v>67</v>
      </c>
      <c r="G20" s="14" t="s">
        <v>66</v>
      </c>
      <c r="H20" s="11" t="s">
        <v>69</v>
      </c>
      <c r="I20" s="11">
        <v>73.422495454545441</v>
      </c>
      <c r="J20" s="14" t="s">
        <v>53</v>
      </c>
      <c r="K20" s="15" t="s">
        <v>56</v>
      </c>
      <c r="L20" s="15">
        <v>117</v>
      </c>
      <c r="M20" s="35">
        <v>0</v>
      </c>
      <c r="N20" s="13">
        <v>8</v>
      </c>
      <c r="O20" s="70"/>
      <c r="P20" s="18"/>
      <c r="Q20" s="13">
        <f t="shared" si="2"/>
        <v>0</v>
      </c>
      <c r="R20" s="11">
        <f t="shared" si="3"/>
        <v>0</v>
      </c>
      <c r="S20" s="13">
        <f t="shared" si="4"/>
        <v>0</v>
      </c>
      <c r="T20" s="13">
        <f t="shared" si="5"/>
        <v>0</v>
      </c>
      <c r="U20" s="13">
        <f t="shared" si="6"/>
        <v>0</v>
      </c>
      <c r="V20" s="13">
        <f t="shared" si="7"/>
        <v>0</v>
      </c>
    </row>
    <row r="21" spans="1:22" s="1" customFormat="1" ht="60" customHeight="1" x14ac:dyDescent="0.3">
      <c r="A21" s="9"/>
      <c r="B21" s="76" t="str">
        <f t="shared" si="1"/>
        <v>Click here</v>
      </c>
      <c r="C21" s="12" t="s">
        <v>76</v>
      </c>
      <c r="D21" s="34" t="s">
        <v>77</v>
      </c>
      <c r="E21" s="14" t="s">
        <v>78</v>
      </c>
      <c r="F21" s="13" t="s">
        <v>67</v>
      </c>
      <c r="G21" s="14" t="s">
        <v>46</v>
      </c>
      <c r="H21" s="11" t="s">
        <v>69</v>
      </c>
      <c r="I21" s="11">
        <v>73.422495454545441</v>
      </c>
      <c r="J21" s="14" t="s">
        <v>53</v>
      </c>
      <c r="K21" s="15" t="s">
        <v>56</v>
      </c>
      <c r="L21" s="15">
        <v>117</v>
      </c>
      <c r="M21" s="35">
        <v>0</v>
      </c>
      <c r="N21" s="13">
        <v>8</v>
      </c>
      <c r="O21" s="70"/>
      <c r="P21" s="18"/>
      <c r="Q21" s="13">
        <f t="shared" si="2"/>
        <v>0</v>
      </c>
      <c r="R21" s="11">
        <f t="shared" si="3"/>
        <v>0</v>
      </c>
      <c r="S21" s="13">
        <f t="shared" si="4"/>
        <v>0</v>
      </c>
      <c r="T21" s="13">
        <f t="shared" si="5"/>
        <v>0</v>
      </c>
      <c r="U21" s="13">
        <f t="shared" si="6"/>
        <v>0</v>
      </c>
      <c r="V21" s="13">
        <f t="shared" si="7"/>
        <v>0</v>
      </c>
    </row>
    <row r="22" spans="1:22" s="1" customFormat="1" ht="60" customHeight="1" x14ac:dyDescent="0.3">
      <c r="A22" s="9"/>
      <c r="B22" s="76" t="str">
        <f t="shared" si="1"/>
        <v>Click here</v>
      </c>
      <c r="C22" s="12" t="s">
        <v>103</v>
      </c>
      <c r="D22" s="34" t="s">
        <v>104</v>
      </c>
      <c r="E22" s="14" t="s">
        <v>105</v>
      </c>
      <c r="F22" s="13" t="s">
        <v>67</v>
      </c>
      <c r="G22" s="14" t="s">
        <v>49</v>
      </c>
      <c r="H22" s="11" t="s">
        <v>68</v>
      </c>
      <c r="I22" s="11">
        <v>42.938448292682921</v>
      </c>
      <c r="J22" s="14" t="s">
        <v>57</v>
      </c>
      <c r="K22" s="15" t="s">
        <v>58</v>
      </c>
      <c r="L22" s="15">
        <v>0</v>
      </c>
      <c r="M22" s="35">
        <v>6.232509E-2</v>
      </c>
      <c r="N22" s="13">
        <v>1</v>
      </c>
      <c r="O22" s="70"/>
      <c r="P22" s="18"/>
      <c r="Q22" s="13">
        <f t="shared" si="2"/>
        <v>0</v>
      </c>
      <c r="R22" s="11">
        <f t="shared" si="3"/>
        <v>0</v>
      </c>
      <c r="S22" s="13">
        <f t="shared" si="4"/>
        <v>0</v>
      </c>
      <c r="T22" s="13">
        <f t="shared" si="5"/>
        <v>0</v>
      </c>
      <c r="U22" s="13">
        <f t="shared" si="6"/>
        <v>0</v>
      </c>
      <c r="V22" s="13">
        <f t="shared" si="7"/>
        <v>0</v>
      </c>
    </row>
    <row r="23" spans="1:22" s="1" customFormat="1" ht="60" customHeight="1" x14ac:dyDescent="0.3">
      <c r="A23" s="9"/>
      <c r="B23" s="76" t="str">
        <f t="shared" si="1"/>
        <v>Click here</v>
      </c>
      <c r="C23" s="12" t="s">
        <v>94</v>
      </c>
      <c r="D23" s="34" t="s">
        <v>95</v>
      </c>
      <c r="E23" s="14" t="s">
        <v>96</v>
      </c>
      <c r="F23" s="13" t="s">
        <v>67</v>
      </c>
      <c r="G23" s="14" t="s">
        <v>49</v>
      </c>
      <c r="H23" s="11" t="s">
        <v>70</v>
      </c>
      <c r="I23" s="11">
        <v>26.067386585365853</v>
      </c>
      <c r="J23" s="14" t="s">
        <v>57</v>
      </c>
      <c r="K23" s="15" t="s">
        <v>58</v>
      </c>
      <c r="L23" s="15">
        <v>0</v>
      </c>
      <c r="M23" s="35">
        <v>3.8091800000000002E-2</v>
      </c>
      <c r="N23" s="13">
        <v>1</v>
      </c>
      <c r="O23" s="70"/>
      <c r="P23" s="18"/>
      <c r="Q23" s="13">
        <f t="shared" si="2"/>
        <v>0</v>
      </c>
      <c r="R23" s="11">
        <f t="shared" si="3"/>
        <v>0</v>
      </c>
      <c r="S23" s="13">
        <f t="shared" si="4"/>
        <v>0</v>
      </c>
      <c r="T23" s="13">
        <f t="shared" si="5"/>
        <v>0</v>
      </c>
      <c r="U23" s="13">
        <f t="shared" si="6"/>
        <v>0</v>
      </c>
      <c r="V23" s="13">
        <f t="shared" si="7"/>
        <v>0</v>
      </c>
    </row>
    <row r="24" spans="1:22" s="1" customFormat="1" ht="60" customHeight="1" x14ac:dyDescent="0.3">
      <c r="A24" s="9"/>
      <c r="B24" s="76" t="str">
        <f t="shared" si="1"/>
        <v>Click here</v>
      </c>
      <c r="C24" s="12" t="s">
        <v>85</v>
      </c>
      <c r="D24" s="34" t="s">
        <v>86</v>
      </c>
      <c r="E24" s="14" t="s">
        <v>87</v>
      </c>
      <c r="F24" s="13" t="s">
        <v>67</v>
      </c>
      <c r="G24" s="14" t="s">
        <v>66</v>
      </c>
      <c r="H24" s="11" t="s">
        <v>68</v>
      </c>
      <c r="I24" s="11">
        <v>42.938448292682921</v>
      </c>
      <c r="J24" s="14" t="s">
        <v>57</v>
      </c>
      <c r="K24" s="15" t="s">
        <v>58</v>
      </c>
      <c r="L24" s="15">
        <v>0</v>
      </c>
      <c r="M24" s="35">
        <v>6.232509E-2</v>
      </c>
      <c r="N24" s="13">
        <v>1</v>
      </c>
      <c r="O24" s="70"/>
      <c r="P24" s="18"/>
      <c r="Q24" s="13">
        <f t="shared" si="2"/>
        <v>0</v>
      </c>
      <c r="R24" s="11">
        <f t="shared" si="3"/>
        <v>0</v>
      </c>
      <c r="S24" s="13">
        <f t="shared" si="4"/>
        <v>0</v>
      </c>
      <c r="T24" s="13">
        <f t="shared" si="5"/>
        <v>0</v>
      </c>
      <c r="U24" s="13">
        <f t="shared" si="6"/>
        <v>0</v>
      </c>
      <c r="V24" s="13">
        <f t="shared" si="7"/>
        <v>0</v>
      </c>
    </row>
    <row r="25" spans="1:22" s="1" customFormat="1" ht="60" customHeight="1" x14ac:dyDescent="0.3">
      <c r="A25" s="9"/>
      <c r="B25" s="76" t="str">
        <f t="shared" si="1"/>
        <v>Click here</v>
      </c>
      <c r="C25" s="12" t="s">
        <v>72</v>
      </c>
      <c r="D25" s="34" t="s">
        <v>73</v>
      </c>
      <c r="E25" s="14" t="s">
        <v>74</v>
      </c>
      <c r="F25" s="13" t="s">
        <v>67</v>
      </c>
      <c r="G25" s="14" t="s">
        <v>75</v>
      </c>
      <c r="H25" s="11" t="s">
        <v>64</v>
      </c>
      <c r="I25" s="11">
        <v>601.11811666666665</v>
      </c>
      <c r="J25" s="14" t="s">
        <v>53</v>
      </c>
      <c r="K25" s="15" t="s">
        <v>59</v>
      </c>
      <c r="L25" s="15">
        <v>124</v>
      </c>
      <c r="M25" s="35">
        <v>0</v>
      </c>
      <c r="N25" s="13">
        <v>1</v>
      </c>
      <c r="O25" s="70"/>
      <c r="P25" s="18"/>
      <c r="Q25" s="13">
        <f t="shared" si="2"/>
        <v>0</v>
      </c>
      <c r="R25" s="11">
        <f t="shared" si="3"/>
        <v>0</v>
      </c>
      <c r="S25" s="13">
        <f t="shared" si="4"/>
        <v>0</v>
      </c>
      <c r="T25" s="13">
        <f t="shared" si="5"/>
        <v>0</v>
      </c>
      <c r="U25" s="13">
        <f t="shared" si="6"/>
        <v>0</v>
      </c>
      <c r="V25" s="13">
        <f t="shared" si="7"/>
        <v>0</v>
      </c>
    </row>
    <row r="26" spans="1:22" s="1" customFormat="1" ht="60" customHeight="1" x14ac:dyDescent="0.3">
      <c r="A26" s="9"/>
      <c r="B26" s="76" t="str">
        <f t="shared" si="1"/>
        <v>Click here</v>
      </c>
      <c r="C26" s="12" t="s">
        <v>122</v>
      </c>
      <c r="D26" s="34" t="s">
        <v>123</v>
      </c>
      <c r="E26" s="14" t="s">
        <v>124</v>
      </c>
      <c r="F26" s="13" t="s">
        <v>67</v>
      </c>
      <c r="G26" s="14" t="s">
        <v>49</v>
      </c>
      <c r="H26" s="11" t="s">
        <v>69</v>
      </c>
      <c r="I26" s="11">
        <v>73.422495454545441</v>
      </c>
      <c r="J26" s="14" t="s">
        <v>53</v>
      </c>
      <c r="K26" s="15" t="s">
        <v>56</v>
      </c>
      <c r="L26" s="15">
        <v>117</v>
      </c>
      <c r="M26" s="35">
        <v>0</v>
      </c>
      <c r="N26" s="13">
        <v>8</v>
      </c>
      <c r="O26" s="70"/>
      <c r="P26" s="18"/>
      <c r="Q26" s="13">
        <f t="shared" si="2"/>
        <v>0</v>
      </c>
      <c r="R26" s="11">
        <f t="shared" si="3"/>
        <v>0</v>
      </c>
      <c r="S26" s="13">
        <f t="shared" si="4"/>
        <v>0</v>
      </c>
      <c r="T26" s="13">
        <f t="shared" si="5"/>
        <v>0</v>
      </c>
      <c r="U26" s="13">
        <f t="shared" si="6"/>
        <v>0</v>
      </c>
      <c r="V26" s="13">
        <f t="shared" si="7"/>
        <v>0</v>
      </c>
    </row>
    <row r="27" spans="1:22" s="1" customFormat="1" ht="60" customHeight="1" x14ac:dyDescent="0.3">
      <c r="A27" s="9"/>
      <c r="B27" s="76" t="str">
        <f t="shared" si="1"/>
        <v>Click here</v>
      </c>
      <c r="C27" s="12" t="s">
        <v>125</v>
      </c>
      <c r="D27" s="34" t="s">
        <v>126</v>
      </c>
      <c r="E27" s="14" t="s">
        <v>127</v>
      </c>
      <c r="F27" s="13" t="s">
        <v>67</v>
      </c>
      <c r="G27" s="14" t="s">
        <v>49</v>
      </c>
      <c r="H27" s="11" t="s">
        <v>55</v>
      </c>
      <c r="I27" s="11">
        <v>55.034199999999991</v>
      </c>
      <c r="J27" s="14" t="s">
        <v>53</v>
      </c>
      <c r="K27" s="15" t="s">
        <v>54</v>
      </c>
      <c r="L27" s="15">
        <v>102</v>
      </c>
      <c r="M27" s="35">
        <v>0</v>
      </c>
      <c r="N27" s="13">
        <v>10</v>
      </c>
      <c r="O27" s="70"/>
      <c r="P27" s="18"/>
      <c r="Q27" s="13">
        <f t="shared" si="2"/>
        <v>0</v>
      </c>
      <c r="R27" s="11">
        <f t="shared" si="3"/>
        <v>0</v>
      </c>
      <c r="S27" s="13">
        <f t="shared" si="4"/>
        <v>0</v>
      </c>
      <c r="T27" s="13">
        <f t="shared" si="5"/>
        <v>0</v>
      </c>
      <c r="U27" s="13">
        <f t="shared" si="6"/>
        <v>0</v>
      </c>
      <c r="V27" s="13">
        <f t="shared" si="7"/>
        <v>0</v>
      </c>
    </row>
    <row r="28" spans="1:22" s="1" customFormat="1" ht="60" customHeight="1" x14ac:dyDescent="0.3">
      <c r="A28" s="9"/>
      <c r="B28" s="76" t="str">
        <f t="shared" si="1"/>
        <v>Click here</v>
      </c>
      <c r="C28" s="12" t="s">
        <v>128</v>
      </c>
      <c r="D28" s="34" t="s">
        <v>129</v>
      </c>
      <c r="E28" s="14" t="s">
        <v>130</v>
      </c>
      <c r="F28" s="13" t="s">
        <v>67</v>
      </c>
      <c r="G28" s="14" t="s">
        <v>49</v>
      </c>
      <c r="H28" s="11" t="s">
        <v>109</v>
      </c>
      <c r="I28" s="11">
        <v>32.062508888888885</v>
      </c>
      <c r="J28" s="14" t="s">
        <v>53</v>
      </c>
      <c r="K28" s="15" t="s">
        <v>59</v>
      </c>
      <c r="L28" s="15">
        <v>125</v>
      </c>
      <c r="M28" s="35">
        <v>0</v>
      </c>
      <c r="N28" s="13">
        <v>12</v>
      </c>
      <c r="O28" s="70"/>
      <c r="P28" s="18"/>
      <c r="Q28" s="13">
        <f t="shared" si="2"/>
        <v>0</v>
      </c>
      <c r="R28" s="11">
        <f t="shared" si="3"/>
        <v>0</v>
      </c>
      <c r="S28" s="13">
        <f t="shared" si="4"/>
        <v>0</v>
      </c>
      <c r="T28" s="13">
        <f t="shared" si="5"/>
        <v>0</v>
      </c>
      <c r="U28" s="13">
        <f t="shared" si="6"/>
        <v>0</v>
      </c>
      <c r="V28" s="13">
        <f t="shared" si="7"/>
        <v>0</v>
      </c>
    </row>
    <row r="29" spans="1:22" s="1" customFormat="1" ht="60" customHeight="1" x14ac:dyDescent="0.3">
      <c r="A29" s="9"/>
      <c r="B29" s="76" t="str">
        <f t="shared" si="1"/>
        <v>Click here</v>
      </c>
      <c r="C29" s="12" t="s">
        <v>131</v>
      </c>
      <c r="D29" s="34" t="s">
        <v>132</v>
      </c>
      <c r="E29" s="14" t="s">
        <v>133</v>
      </c>
      <c r="F29" s="13" t="s">
        <v>67</v>
      </c>
      <c r="G29" s="14" t="s">
        <v>49</v>
      </c>
      <c r="H29" s="11" t="s">
        <v>71</v>
      </c>
      <c r="I29" s="11">
        <v>47.698869999999999</v>
      </c>
      <c r="J29" s="14" t="s">
        <v>53</v>
      </c>
      <c r="K29" s="15" t="s">
        <v>54</v>
      </c>
      <c r="L29" s="15">
        <v>104</v>
      </c>
      <c r="M29" s="35">
        <v>0</v>
      </c>
      <c r="N29" s="13">
        <v>10</v>
      </c>
      <c r="O29" s="70"/>
      <c r="P29" s="18"/>
      <c r="Q29" s="13">
        <f t="shared" si="2"/>
        <v>0</v>
      </c>
      <c r="R29" s="11">
        <f t="shared" si="3"/>
        <v>0</v>
      </c>
      <c r="S29" s="13">
        <f t="shared" si="4"/>
        <v>0</v>
      </c>
      <c r="T29" s="13">
        <f t="shared" si="5"/>
        <v>0</v>
      </c>
      <c r="U29" s="13">
        <f t="shared" si="6"/>
        <v>0</v>
      </c>
      <c r="V29" s="13">
        <f t="shared" si="7"/>
        <v>0</v>
      </c>
    </row>
    <row r="30" spans="1:22" s="1" customFormat="1" ht="60" customHeight="1" x14ac:dyDescent="0.3">
      <c r="A30" s="9"/>
      <c r="B30" s="76" t="str">
        <f t="shared" si="1"/>
        <v>Click here</v>
      </c>
      <c r="C30" s="12" t="s">
        <v>134</v>
      </c>
      <c r="D30" s="34" t="s">
        <v>135</v>
      </c>
      <c r="E30" s="14" t="s">
        <v>136</v>
      </c>
      <c r="F30" s="13" t="s">
        <v>67</v>
      </c>
      <c r="G30" s="14" t="s">
        <v>45</v>
      </c>
      <c r="H30" s="11" t="s">
        <v>109</v>
      </c>
      <c r="I30" s="11">
        <v>32.062508888888885</v>
      </c>
      <c r="J30" s="14" t="s">
        <v>53</v>
      </c>
      <c r="K30" s="15" t="s">
        <v>59</v>
      </c>
      <c r="L30" s="15">
        <v>125</v>
      </c>
      <c r="M30" s="35">
        <v>0</v>
      </c>
      <c r="N30" s="13">
        <v>12</v>
      </c>
      <c r="O30" s="70"/>
      <c r="P30" s="18"/>
      <c r="Q30" s="13">
        <f t="shared" si="2"/>
        <v>0</v>
      </c>
      <c r="R30" s="11">
        <f t="shared" si="3"/>
        <v>0</v>
      </c>
      <c r="S30" s="13">
        <f t="shared" si="4"/>
        <v>0</v>
      </c>
      <c r="T30" s="13">
        <f t="shared" si="5"/>
        <v>0</v>
      </c>
      <c r="U30" s="13">
        <f t="shared" si="6"/>
        <v>0</v>
      </c>
      <c r="V30" s="13">
        <f t="shared" si="7"/>
        <v>0</v>
      </c>
    </row>
    <row r="31" spans="1:22" s="1" customFormat="1" ht="60" customHeight="1" x14ac:dyDescent="0.3">
      <c r="A31" s="9"/>
      <c r="B31" s="76" t="str">
        <f t="shared" si="1"/>
        <v>Click here</v>
      </c>
      <c r="C31" s="12" t="s">
        <v>137</v>
      </c>
      <c r="D31" s="34" t="s">
        <v>138</v>
      </c>
      <c r="E31" s="14" t="s">
        <v>139</v>
      </c>
      <c r="F31" s="13" t="s">
        <v>67</v>
      </c>
      <c r="G31" s="14" t="s">
        <v>45</v>
      </c>
      <c r="H31" s="11" t="s">
        <v>71</v>
      </c>
      <c r="I31" s="11">
        <v>47.698869999999999</v>
      </c>
      <c r="J31" s="14" t="s">
        <v>53</v>
      </c>
      <c r="K31" s="15" t="s">
        <v>54</v>
      </c>
      <c r="L31" s="15">
        <v>104</v>
      </c>
      <c r="M31" s="35">
        <v>0</v>
      </c>
      <c r="N31" s="13">
        <v>10</v>
      </c>
      <c r="O31" s="70"/>
      <c r="P31" s="18"/>
      <c r="Q31" s="13">
        <f t="shared" si="2"/>
        <v>0</v>
      </c>
      <c r="R31" s="11">
        <f t="shared" si="3"/>
        <v>0</v>
      </c>
      <c r="S31" s="13">
        <f t="shared" si="4"/>
        <v>0</v>
      </c>
      <c r="T31" s="13">
        <f t="shared" si="5"/>
        <v>0</v>
      </c>
      <c r="U31" s="13">
        <f t="shared" si="6"/>
        <v>0</v>
      </c>
      <c r="V31" s="13">
        <f t="shared" si="7"/>
        <v>0</v>
      </c>
    </row>
    <row r="32" spans="1:22" s="1" customFormat="1" ht="60" customHeight="1" x14ac:dyDescent="0.3">
      <c r="A32" s="9"/>
      <c r="B32" s="76" t="str">
        <f t="shared" si="1"/>
        <v>Click here</v>
      </c>
      <c r="C32" s="12" t="s">
        <v>113</v>
      </c>
      <c r="D32" s="34" t="s">
        <v>114</v>
      </c>
      <c r="E32" s="14" t="s">
        <v>115</v>
      </c>
      <c r="F32" s="13" t="s">
        <v>67</v>
      </c>
      <c r="G32" s="14" t="s">
        <v>45</v>
      </c>
      <c r="H32" s="11" t="s">
        <v>69</v>
      </c>
      <c r="I32" s="11">
        <v>73.422495454545441</v>
      </c>
      <c r="J32" s="14" t="s">
        <v>53</v>
      </c>
      <c r="K32" s="15" t="s">
        <v>56</v>
      </c>
      <c r="L32" s="15">
        <v>117</v>
      </c>
      <c r="M32" s="35">
        <v>0</v>
      </c>
      <c r="N32" s="13">
        <v>8</v>
      </c>
      <c r="O32" s="70"/>
      <c r="P32" s="18"/>
      <c r="Q32" s="13">
        <f t="shared" si="2"/>
        <v>0</v>
      </c>
      <c r="R32" s="11">
        <f t="shared" si="3"/>
        <v>0</v>
      </c>
      <c r="S32" s="13">
        <f t="shared" si="4"/>
        <v>0</v>
      </c>
      <c r="T32" s="13">
        <f t="shared" si="5"/>
        <v>0</v>
      </c>
      <c r="U32" s="13">
        <f t="shared" si="6"/>
        <v>0</v>
      </c>
      <c r="V32" s="13">
        <f t="shared" si="7"/>
        <v>0</v>
      </c>
    </row>
    <row r="33" spans="1:22" s="1" customFormat="1" ht="60" customHeight="1" x14ac:dyDescent="0.3">
      <c r="A33" s="9"/>
      <c r="B33" s="76" t="str">
        <f t="shared" si="1"/>
        <v>Click here</v>
      </c>
      <c r="C33" s="12" t="s">
        <v>110</v>
      </c>
      <c r="D33" s="34" t="s">
        <v>111</v>
      </c>
      <c r="E33" s="14" t="s">
        <v>112</v>
      </c>
      <c r="F33" s="13" t="s">
        <v>67</v>
      </c>
      <c r="G33" s="14" t="s">
        <v>65</v>
      </c>
      <c r="H33" s="11" t="s">
        <v>71</v>
      </c>
      <c r="I33" s="11">
        <v>47.698869999999999</v>
      </c>
      <c r="J33" s="14" t="s">
        <v>53</v>
      </c>
      <c r="K33" s="15" t="s">
        <v>54</v>
      </c>
      <c r="L33" s="15">
        <v>104</v>
      </c>
      <c r="M33" s="35">
        <v>0</v>
      </c>
      <c r="N33" s="13">
        <v>10</v>
      </c>
      <c r="O33" s="70"/>
      <c r="P33" s="18"/>
      <c r="Q33" s="13">
        <f t="shared" si="2"/>
        <v>0</v>
      </c>
      <c r="R33" s="11">
        <f t="shared" si="3"/>
        <v>0</v>
      </c>
      <c r="S33" s="13">
        <f t="shared" si="4"/>
        <v>0</v>
      </c>
      <c r="T33" s="13">
        <f t="shared" si="5"/>
        <v>0</v>
      </c>
      <c r="U33" s="13">
        <f t="shared" si="6"/>
        <v>0</v>
      </c>
      <c r="V33" s="13">
        <f t="shared" si="7"/>
        <v>0</v>
      </c>
    </row>
    <row r="34" spans="1:22" s="1" customFormat="1" ht="60" customHeight="1" x14ac:dyDescent="0.3">
      <c r="A34" s="9"/>
      <c r="B34" s="76" t="str">
        <f t="shared" si="1"/>
        <v>Click here</v>
      </c>
      <c r="C34" s="12" t="s">
        <v>119</v>
      </c>
      <c r="D34" s="34" t="s">
        <v>120</v>
      </c>
      <c r="E34" s="14" t="s">
        <v>121</v>
      </c>
      <c r="F34" s="13" t="s">
        <v>67</v>
      </c>
      <c r="G34" s="14" t="s">
        <v>65</v>
      </c>
      <c r="H34" s="11" t="s">
        <v>55</v>
      </c>
      <c r="I34" s="11">
        <v>55.034199999999991</v>
      </c>
      <c r="J34" s="14" t="s">
        <v>53</v>
      </c>
      <c r="K34" s="15" t="s">
        <v>54</v>
      </c>
      <c r="L34" s="15">
        <v>102</v>
      </c>
      <c r="M34" s="35">
        <v>0</v>
      </c>
      <c r="N34" s="13">
        <v>10</v>
      </c>
      <c r="O34" s="70"/>
      <c r="P34" s="18"/>
      <c r="Q34" s="13">
        <f t="shared" si="2"/>
        <v>0</v>
      </c>
      <c r="R34" s="11">
        <f t="shared" si="3"/>
        <v>0</v>
      </c>
      <c r="S34" s="13">
        <f t="shared" si="4"/>
        <v>0</v>
      </c>
      <c r="T34" s="13">
        <f t="shared" si="5"/>
        <v>0</v>
      </c>
      <c r="U34" s="13">
        <f t="shared" si="6"/>
        <v>0</v>
      </c>
      <c r="V34" s="13">
        <f t="shared" si="7"/>
        <v>0</v>
      </c>
    </row>
    <row r="35" spans="1:22" s="1" customFormat="1" ht="60" customHeight="1" x14ac:dyDescent="0.3">
      <c r="A35" s="9"/>
      <c r="B35" s="76" t="str">
        <f t="shared" si="1"/>
        <v>Click here</v>
      </c>
      <c r="C35" s="12" t="s">
        <v>116</v>
      </c>
      <c r="D35" s="34" t="s">
        <v>117</v>
      </c>
      <c r="E35" s="14" t="s">
        <v>118</v>
      </c>
      <c r="F35" s="13" t="s">
        <v>67</v>
      </c>
      <c r="G35" s="14" t="s">
        <v>45</v>
      </c>
      <c r="H35" s="11" t="s">
        <v>55</v>
      </c>
      <c r="I35" s="11">
        <v>55.034199999999991</v>
      </c>
      <c r="J35" s="14" t="s">
        <v>53</v>
      </c>
      <c r="K35" s="15" t="s">
        <v>54</v>
      </c>
      <c r="L35" s="15">
        <v>102</v>
      </c>
      <c r="M35" s="35">
        <v>0</v>
      </c>
      <c r="N35" s="13">
        <v>10</v>
      </c>
      <c r="O35" s="70"/>
      <c r="P35" s="18"/>
      <c r="Q35" s="13">
        <f t="shared" si="2"/>
        <v>0</v>
      </c>
      <c r="R35" s="11">
        <f t="shared" si="3"/>
        <v>0</v>
      </c>
      <c r="S35" s="13">
        <f t="shared" si="4"/>
        <v>0</v>
      </c>
      <c r="T35" s="13">
        <f t="shared" si="5"/>
        <v>0</v>
      </c>
      <c r="U35" s="13">
        <f t="shared" si="6"/>
        <v>0</v>
      </c>
      <c r="V35" s="13">
        <f t="shared" si="7"/>
        <v>0</v>
      </c>
    </row>
    <row r="36" spans="1:22" s="1" customFormat="1" ht="60" customHeight="1" x14ac:dyDescent="0.3">
      <c r="A36" s="9"/>
      <c r="B36" s="76" t="str">
        <f t="shared" si="1"/>
        <v>Click here</v>
      </c>
      <c r="C36" s="12" t="s">
        <v>106</v>
      </c>
      <c r="D36" s="34" t="s">
        <v>107</v>
      </c>
      <c r="E36" s="14" t="s">
        <v>108</v>
      </c>
      <c r="F36" s="13" t="s">
        <v>67</v>
      </c>
      <c r="G36" s="14" t="s">
        <v>65</v>
      </c>
      <c r="H36" s="11" t="s">
        <v>109</v>
      </c>
      <c r="I36" s="11">
        <v>32.062508888888885</v>
      </c>
      <c r="J36" s="14" t="s">
        <v>53</v>
      </c>
      <c r="K36" s="15" t="s">
        <v>59</v>
      </c>
      <c r="L36" s="15">
        <v>125</v>
      </c>
      <c r="M36" s="35">
        <v>0</v>
      </c>
      <c r="N36" s="13">
        <v>12</v>
      </c>
      <c r="O36" s="70"/>
      <c r="P36" s="18"/>
      <c r="Q36" s="13">
        <f t="shared" si="2"/>
        <v>0</v>
      </c>
      <c r="R36" s="11">
        <f t="shared" si="3"/>
        <v>0</v>
      </c>
      <c r="S36" s="13">
        <f t="shared" si="4"/>
        <v>0</v>
      </c>
      <c r="T36" s="13">
        <f t="shared" si="5"/>
        <v>0</v>
      </c>
      <c r="U36" s="13">
        <f t="shared" si="6"/>
        <v>0</v>
      </c>
      <c r="V36" s="13">
        <f t="shared" si="7"/>
        <v>0</v>
      </c>
    </row>
    <row r="37" spans="1:22" s="1" customFormat="1" ht="60" customHeight="1" x14ac:dyDescent="0.3">
      <c r="A37" s="9"/>
      <c r="B37" s="76" t="str">
        <f t="shared" si="1"/>
        <v>Click here</v>
      </c>
      <c r="C37" s="12"/>
      <c r="D37" s="34"/>
      <c r="E37" s="14"/>
      <c r="F37" s="13"/>
      <c r="G37" s="14"/>
      <c r="H37" s="11"/>
      <c r="I37" s="11"/>
      <c r="J37" s="14"/>
      <c r="K37" s="15"/>
      <c r="L37" s="15"/>
      <c r="M37" s="35"/>
      <c r="N37" s="13"/>
      <c r="O37" s="70"/>
      <c r="P37" s="18"/>
      <c r="Q37" s="13">
        <f t="shared" si="2"/>
        <v>0</v>
      </c>
      <c r="R37" s="11">
        <f t="shared" si="3"/>
        <v>0</v>
      </c>
      <c r="S37" s="13">
        <f t="shared" si="4"/>
        <v>0</v>
      </c>
      <c r="T37" s="13">
        <f t="shared" si="5"/>
        <v>0</v>
      </c>
      <c r="U37" s="13">
        <f t="shared" si="6"/>
        <v>0</v>
      </c>
      <c r="V37" s="13">
        <f t="shared" si="7"/>
        <v>0</v>
      </c>
    </row>
    <row r="38" spans="1:22" s="1" customFormat="1" ht="60" customHeight="1" x14ac:dyDescent="0.3">
      <c r="A38" s="9"/>
      <c r="B38" s="76" t="str">
        <f t="shared" si="1"/>
        <v>Click here</v>
      </c>
      <c r="C38" s="12"/>
      <c r="D38" s="34"/>
      <c r="E38" s="14"/>
      <c r="F38" s="13"/>
      <c r="G38" s="14"/>
      <c r="H38" s="11"/>
      <c r="I38" s="11"/>
      <c r="J38" s="14"/>
      <c r="K38" s="15"/>
      <c r="L38" s="15"/>
      <c r="M38" s="35"/>
      <c r="N38" s="13"/>
      <c r="O38" s="70"/>
      <c r="P38" s="18"/>
      <c r="Q38" s="13">
        <f t="shared" si="2"/>
        <v>0</v>
      </c>
      <c r="R38" s="11">
        <f t="shared" si="3"/>
        <v>0</v>
      </c>
      <c r="S38" s="13">
        <f t="shared" si="4"/>
        <v>0</v>
      </c>
      <c r="T38" s="13">
        <f t="shared" si="5"/>
        <v>0</v>
      </c>
      <c r="U38" s="13">
        <f t="shared" si="6"/>
        <v>0</v>
      </c>
      <c r="V38" s="13">
        <f t="shared" si="7"/>
        <v>0</v>
      </c>
    </row>
    <row r="39" spans="1:22" s="1" customFormat="1" ht="60" customHeight="1" x14ac:dyDescent="0.3">
      <c r="A39" s="9"/>
      <c r="B39" s="76" t="str">
        <f t="shared" si="1"/>
        <v>Click here</v>
      </c>
      <c r="C39" s="12"/>
      <c r="D39" s="34"/>
      <c r="E39" s="14"/>
      <c r="F39" s="13"/>
      <c r="G39" s="14"/>
      <c r="H39" s="11"/>
      <c r="I39" s="11"/>
      <c r="J39" s="14"/>
      <c r="K39" s="15"/>
      <c r="L39" s="15"/>
      <c r="M39" s="35"/>
      <c r="N39" s="13"/>
      <c r="O39" s="70"/>
      <c r="P39" s="18"/>
      <c r="Q39" s="13">
        <f t="shared" si="2"/>
        <v>0</v>
      </c>
      <c r="R39" s="11">
        <f t="shared" si="3"/>
        <v>0</v>
      </c>
      <c r="S39" s="13">
        <f t="shared" si="4"/>
        <v>0</v>
      </c>
      <c r="T39" s="13">
        <f t="shared" si="5"/>
        <v>0</v>
      </c>
      <c r="U39" s="13">
        <f t="shared" si="6"/>
        <v>0</v>
      </c>
      <c r="V39" s="13">
        <f t="shared" si="7"/>
        <v>0</v>
      </c>
    </row>
    <row r="40" spans="1:22" s="1" customFormat="1" ht="60" customHeight="1" x14ac:dyDescent="0.3">
      <c r="A40" s="9"/>
      <c r="B40" s="76" t="str">
        <f t="shared" si="1"/>
        <v>Click here</v>
      </c>
      <c r="C40" s="12"/>
      <c r="D40" s="34"/>
      <c r="E40" s="14"/>
      <c r="F40" s="13"/>
      <c r="G40" s="14"/>
      <c r="H40" s="11"/>
      <c r="I40" s="11"/>
      <c r="J40" s="14"/>
      <c r="K40" s="15"/>
      <c r="L40" s="15"/>
      <c r="M40" s="35"/>
      <c r="N40" s="13"/>
      <c r="O40" s="70"/>
      <c r="P40" s="18"/>
      <c r="Q40" s="13">
        <f t="shared" si="2"/>
        <v>0</v>
      </c>
      <c r="R40" s="11">
        <f t="shared" si="3"/>
        <v>0</v>
      </c>
      <c r="S40" s="13">
        <f t="shared" si="4"/>
        <v>0</v>
      </c>
      <c r="T40" s="13">
        <f t="shared" si="5"/>
        <v>0</v>
      </c>
      <c r="U40" s="13">
        <f t="shared" si="6"/>
        <v>0</v>
      </c>
      <c r="V40" s="13">
        <f t="shared" si="7"/>
        <v>0</v>
      </c>
    </row>
    <row r="41" spans="1:22" s="1" customFormat="1" ht="60" customHeight="1" x14ac:dyDescent="0.3">
      <c r="A41" s="9"/>
      <c r="B41" s="76" t="str">
        <f t="shared" si="1"/>
        <v>Click here</v>
      </c>
      <c r="C41" s="12"/>
      <c r="D41" s="34"/>
      <c r="E41" s="14"/>
      <c r="F41" s="13"/>
      <c r="G41" s="14"/>
      <c r="H41" s="11"/>
      <c r="I41" s="11"/>
      <c r="J41" s="14"/>
      <c r="K41" s="15"/>
      <c r="L41" s="15"/>
      <c r="M41" s="35"/>
      <c r="N41" s="13"/>
      <c r="O41" s="70"/>
      <c r="P41" s="18"/>
      <c r="Q41" s="13">
        <f t="shared" si="2"/>
        <v>0</v>
      </c>
      <c r="R41" s="11">
        <f t="shared" si="3"/>
        <v>0</v>
      </c>
      <c r="S41" s="13">
        <f t="shared" si="4"/>
        <v>0</v>
      </c>
      <c r="T41" s="13">
        <f t="shared" si="5"/>
        <v>0</v>
      </c>
      <c r="U41" s="13">
        <f t="shared" si="6"/>
        <v>0</v>
      </c>
      <c r="V41" s="13">
        <f t="shared" si="7"/>
        <v>0</v>
      </c>
    </row>
    <row r="42" spans="1:22" s="1" customFormat="1" ht="60" customHeight="1" x14ac:dyDescent="0.3">
      <c r="A42" s="9"/>
      <c r="B42" s="76" t="str">
        <f t="shared" si="1"/>
        <v>Click here</v>
      </c>
      <c r="C42" s="12"/>
      <c r="D42" s="34"/>
      <c r="E42" s="14"/>
      <c r="F42" s="13"/>
      <c r="G42" s="14"/>
      <c r="H42" s="11"/>
      <c r="I42" s="11"/>
      <c r="J42" s="14"/>
      <c r="K42" s="15"/>
      <c r="L42" s="15"/>
      <c r="M42" s="35"/>
      <c r="N42" s="13"/>
      <c r="O42" s="70"/>
      <c r="P42" s="18"/>
      <c r="Q42" s="13">
        <f t="shared" si="2"/>
        <v>0</v>
      </c>
      <c r="R42" s="11">
        <f t="shared" si="3"/>
        <v>0</v>
      </c>
      <c r="S42" s="13">
        <f t="shared" si="4"/>
        <v>0</v>
      </c>
      <c r="T42" s="13">
        <f t="shared" si="5"/>
        <v>0</v>
      </c>
      <c r="U42" s="13">
        <f t="shared" si="6"/>
        <v>0</v>
      </c>
      <c r="V42" s="13">
        <f t="shared" si="7"/>
        <v>0</v>
      </c>
    </row>
    <row r="43" spans="1:22" s="1" customFormat="1" ht="60" customHeight="1" x14ac:dyDescent="0.3">
      <c r="A43" s="9"/>
      <c r="B43" s="76" t="str">
        <f t="shared" si="1"/>
        <v>Click here</v>
      </c>
      <c r="C43" s="12"/>
      <c r="D43" s="34"/>
      <c r="E43" s="14"/>
      <c r="F43" s="13"/>
      <c r="G43" s="14"/>
      <c r="H43" s="11"/>
      <c r="I43" s="11"/>
      <c r="J43" s="14"/>
      <c r="K43" s="15"/>
      <c r="L43" s="15"/>
      <c r="M43" s="35"/>
      <c r="N43" s="13"/>
      <c r="O43" s="70"/>
      <c r="P43" s="18"/>
      <c r="Q43" s="13">
        <f t="shared" si="2"/>
        <v>0</v>
      </c>
      <c r="R43" s="11">
        <f t="shared" si="3"/>
        <v>0</v>
      </c>
      <c r="S43" s="13">
        <f t="shared" si="4"/>
        <v>0</v>
      </c>
      <c r="T43" s="13">
        <f t="shared" si="5"/>
        <v>0</v>
      </c>
      <c r="U43" s="13">
        <f t="shared" si="6"/>
        <v>0</v>
      </c>
      <c r="V43" s="13">
        <f t="shared" si="7"/>
        <v>0</v>
      </c>
    </row>
    <row r="44" spans="1:22" s="1" customFormat="1" ht="60" customHeight="1" x14ac:dyDescent="0.3">
      <c r="A44" s="9"/>
      <c r="B44" s="76" t="str">
        <f t="shared" si="1"/>
        <v>Click here</v>
      </c>
      <c r="C44" s="12"/>
      <c r="D44" s="34"/>
      <c r="E44" s="14"/>
      <c r="F44" s="13"/>
      <c r="G44" s="14"/>
      <c r="H44" s="11"/>
      <c r="I44" s="11"/>
      <c r="J44" s="14"/>
      <c r="K44" s="15"/>
      <c r="L44" s="15"/>
      <c r="M44" s="35"/>
      <c r="N44" s="13"/>
      <c r="O44" s="70"/>
      <c r="P44" s="18"/>
      <c r="Q44" s="13">
        <f t="shared" si="2"/>
        <v>0</v>
      </c>
      <c r="R44" s="11">
        <f t="shared" si="3"/>
        <v>0</v>
      </c>
      <c r="S44" s="13">
        <f t="shared" si="4"/>
        <v>0</v>
      </c>
      <c r="T44" s="13">
        <f t="shared" si="5"/>
        <v>0</v>
      </c>
      <c r="U44" s="13">
        <f t="shared" si="6"/>
        <v>0</v>
      </c>
      <c r="V44" s="13">
        <f t="shared" si="7"/>
        <v>0</v>
      </c>
    </row>
    <row r="45" spans="1:22" s="1" customFormat="1" ht="60" customHeight="1" x14ac:dyDescent="0.3">
      <c r="A45" s="9"/>
      <c r="B45" s="76" t="str">
        <f t="shared" si="1"/>
        <v>Click here</v>
      </c>
      <c r="C45" s="12"/>
      <c r="D45" s="34"/>
      <c r="E45" s="14"/>
      <c r="F45" s="13"/>
      <c r="G45" s="14"/>
      <c r="H45" s="11"/>
      <c r="I45" s="11"/>
      <c r="J45" s="14"/>
      <c r="K45" s="15"/>
      <c r="L45" s="15"/>
      <c r="M45" s="35"/>
      <c r="N45" s="13"/>
      <c r="O45" s="70"/>
      <c r="P45" s="18"/>
      <c r="Q45" s="13">
        <f t="shared" si="2"/>
        <v>0</v>
      </c>
      <c r="R45" s="11">
        <f t="shared" si="3"/>
        <v>0</v>
      </c>
      <c r="S45" s="13">
        <f t="shared" si="4"/>
        <v>0</v>
      </c>
      <c r="T45" s="13">
        <f t="shared" si="5"/>
        <v>0</v>
      </c>
      <c r="U45" s="13">
        <f t="shared" si="6"/>
        <v>0</v>
      </c>
      <c r="V45" s="13">
        <f t="shared" si="7"/>
        <v>0</v>
      </c>
    </row>
    <row r="46" spans="1:22" s="1" customFormat="1" ht="60" customHeight="1" x14ac:dyDescent="0.3">
      <c r="A46" s="9"/>
      <c r="B46" s="76" t="str">
        <f t="shared" si="1"/>
        <v>Click here</v>
      </c>
      <c r="C46" s="12"/>
      <c r="D46" s="34"/>
      <c r="E46" s="14"/>
      <c r="F46" s="13"/>
      <c r="G46" s="14"/>
      <c r="H46" s="11"/>
      <c r="I46" s="11"/>
      <c r="J46" s="14"/>
      <c r="K46" s="15"/>
      <c r="L46" s="15"/>
      <c r="M46" s="35"/>
      <c r="N46" s="13"/>
      <c r="O46" s="70"/>
      <c r="P46" s="18"/>
      <c r="Q46" s="13">
        <f t="shared" si="2"/>
        <v>0</v>
      </c>
      <c r="R46" s="11">
        <f t="shared" si="3"/>
        <v>0</v>
      </c>
      <c r="S46" s="13">
        <f t="shared" si="4"/>
        <v>0</v>
      </c>
      <c r="T46" s="13">
        <f t="shared" si="5"/>
        <v>0</v>
      </c>
      <c r="U46" s="13">
        <f t="shared" si="6"/>
        <v>0</v>
      </c>
      <c r="V46" s="13">
        <f t="shared" si="7"/>
        <v>0</v>
      </c>
    </row>
    <row r="47" spans="1:22" s="1" customFormat="1" ht="60" customHeight="1" x14ac:dyDescent="0.3">
      <c r="A47" s="9"/>
      <c r="B47" s="76" t="str">
        <f t="shared" si="1"/>
        <v>Click here</v>
      </c>
      <c r="C47" s="12"/>
      <c r="D47" s="34"/>
      <c r="E47" s="14"/>
      <c r="F47" s="13"/>
      <c r="G47" s="14"/>
      <c r="H47" s="11"/>
      <c r="I47" s="11"/>
      <c r="J47" s="14"/>
      <c r="K47" s="15"/>
      <c r="L47" s="15"/>
      <c r="M47" s="35"/>
      <c r="N47" s="13"/>
      <c r="O47" s="70"/>
      <c r="P47" s="18"/>
      <c r="Q47" s="13">
        <f t="shared" si="2"/>
        <v>0</v>
      </c>
      <c r="R47" s="11">
        <f t="shared" si="3"/>
        <v>0</v>
      </c>
      <c r="S47" s="13">
        <f t="shared" si="4"/>
        <v>0</v>
      </c>
      <c r="T47" s="13">
        <f t="shared" si="5"/>
        <v>0</v>
      </c>
      <c r="U47" s="13">
        <f t="shared" si="6"/>
        <v>0</v>
      </c>
      <c r="V47" s="13">
        <f t="shared" si="7"/>
        <v>0</v>
      </c>
    </row>
    <row r="48" spans="1:22" s="1" customFormat="1" ht="60" customHeight="1" x14ac:dyDescent="0.3">
      <c r="A48" s="9"/>
      <c r="B48" s="76" t="str">
        <f t="shared" si="1"/>
        <v>Click here</v>
      </c>
      <c r="C48" s="12"/>
      <c r="D48" s="34"/>
      <c r="E48" s="14"/>
      <c r="F48" s="13"/>
      <c r="G48" s="14"/>
      <c r="H48" s="11"/>
      <c r="I48" s="11"/>
      <c r="J48" s="14"/>
      <c r="K48" s="15"/>
      <c r="L48" s="15"/>
      <c r="M48" s="35"/>
      <c r="N48" s="13"/>
      <c r="O48" s="70"/>
      <c r="P48" s="18"/>
      <c r="Q48" s="13">
        <f t="shared" si="2"/>
        <v>0</v>
      </c>
      <c r="R48" s="11">
        <f t="shared" si="3"/>
        <v>0</v>
      </c>
      <c r="S48" s="13">
        <f t="shared" si="4"/>
        <v>0</v>
      </c>
      <c r="T48" s="13">
        <f t="shared" si="5"/>
        <v>0</v>
      </c>
      <c r="U48" s="13">
        <f t="shared" si="6"/>
        <v>0</v>
      </c>
      <c r="V48" s="13">
        <f t="shared" si="7"/>
        <v>0</v>
      </c>
    </row>
    <row r="49" spans="1:22" s="1" customFormat="1" ht="60" customHeight="1" x14ac:dyDescent="0.3">
      <c r="A49" s="9"/>
      <c r="B49" s="76" t="str">
        <f t="shared" si="1"/>
        <v>Click here</v>
      </c>
      <c r="C49" s="12"/>
      <c r="D49" s="34"/>
      <c r="E49" s="14"/>
      <c r="F49" s="13"/>
      <c r="G49" s="14"/>
      <c r="H49" s="11"/>
      <c r="I49" s="11"/>
      <c r="J49" s="14"/>
      <c r="K49" s="15"/>
      <c r="L49" s="15"/>
      <c r="M49" s="35"/>
      <c r="N49" s="13"/>
      <c r="O49" s="70"/>
      <c r="P49" s="18"/>
      <c r="Q49" s="13">
        <f t="shared" si="2"/>
        <v>0</v>
      </c>
      <c r="R49" s="11">
        <f t="shared" si="3"/>
        <v>0</v>
      </c>
      <c r="S49" s="13">
        <f t="shared" si="4"/>
        <v>0</v>
      </c>
      <c r="T49" s="13">
        <f t="shared" si="5"/>
        <v>0</v>
      </c>
      <c r="U49" s="13">
        <f t="shared" si="6"/>
        <v>0</v>
      </c>
      <c r="V49" s="13">
        <f t="shared" si="7"/>
        <v>0</v>
      </c>
    </row>
    <row r="50" spans="1:22" s="1" customFormat="1" ht="60" customHeight="1" x14ac:dyDescent="0.3">
      <c r="A50" s="9"/>
      <c r="B50" s="76" t="str">
        <f t="shared" si="1"/>
        <v>Click here</v>
      </c>
      <c r="C50" s="12"/>
      <c r="D50" s="34"/>
      <c r="E50" s="14"/>
      <c r="F50" s="13"/>
      <c r="G50" s="14"/>
      <c r="H50" s="11"/>
      <c r="I50" s="11"/>
      <c r="J50" s="14"/>
      <c r="K50" s="15"/>
      <c r="L50" s="15"/>
      <c r="M50" s="35"/>
      <c r="N50" s="13"/>
      <c r="O50" s="70"/>
      <c r="P50" s="18"/>
      <c r="Q50" s="13">
        <f t="shared" si="2"/>
        <v>0</v>
      </c>
      <c r="R50" s="11">
        <f t="shared" si="3"/>
        <v>0</v>
      </c>
      <c r="S50" s="13">
        <f t="shared" si="4"/>
        <v>0</v>
      </c>
      <c r="T50" s="13">
        <f t="shared" si="5"/>
        <v>0</v>
      </c>
      <c r="U50" s="13">
        <f t="shared" si="6"/>
        <v>0</v>
      </c>
      <c r="V50" s="13">
        <f t="shared" si="7"/>
        <v>0</v>
      </c>
    </row>
    <row r="51" spans="1:22" s="1" customFormat="1" ht="60" customHeight="1" x14ac:dyDescent="0.3">
      <c r="A51" s="9"/>
      <c r="B51" s="76" t="str">
        <f t="shared" si="1"/>
        <v>Click here</v>
      </c>
      <c r="C51" s="12"/>
      <c r="D51" s="34"/>
      <c r="E51" s="14"/>
      <c r="F51" s="13"/>
      <c r="G51" s="14"/>
      <c r="H51" s="11"/>
      <c r="I51" s="11"/>
      <c r="J51" s="14"/>
      <c r="K51" s="15"/>
      <c r="L51" s="15"/>
      <c r="M51" s="35"/>
      <c r="N51" s="13"/>
      <c r="O51" s="70"/>
      <c r="P51" s="18"/>
      <c r="Q51" s="13">
        <f t="shared" si="2"/>
        <v>0</v>
      </c>
      <c r="R51" s="11">
        <f t="shared" si="3"/>
        <v>0</v>
      </c>
      <c r="S51" s="13">
        <f t="shared" si="4"/>
        <v>0</v>
      </c>
      <c r="T51" s="13">
        <f t="shared" si="5"/>
        <v>0</v>
      </c>
      <c r="U51" s="13">
        <f t="shared" si="6"/>
        <v>0</v>
      </c>
      <c r="V51" s="13">
        <f t="shared" si="7"/>
        <v>0</v>
      </c>
    </row>
    <row r="52" spans="1:22" s="1" customFormat="1" ht="60" customHeight="1" x14ac:dyDescent="0.3">
      <c r="A52" s="9"/>
      <c r="B52" s="76" t="str">
        <f t="shared" si="1"/>
        <v>Click here</v>
      </c>
      <c r="C52" s="12"/>
      <c r="D52" s="34"/>
      <c r="E52" s="14"/>
      <c r="F52" s="13"/>
      <c r="G52" s="14"/>
      <c r="H52" s="11"/>
      <c r="I52" s="11"/>
      <c r="J52" s="14"/>
      <c r="K52" s="15"/>
      <c r="L52" s="15"/>
      <c r="M52" s="35"/>
      <c r="N52" s="13"/>
      <c r="O52" s="70"/>
      <c r="P52" s="18"/>
      <c r="Q52" s="13">
        <f t="shared" si="2"/>
        <v>0</v>
      </c>
      <c r="R52" s="11">
        <f t="shared" si="3"/>
        <v>0</v>
      </c>
      <c r="S52" s="13">
        <f t="shared" si="4"/>
        <v>0</v>
      </c>
      <c r="T52" s="13">
        <f t="shared" si="5"/>
        <v>0</v>
      </c>
      <c r="U52" s="13">
        <f t="shared" si="6"/>
        <v>0</v>
      </c>
      <c r="V52" s="13">
        <f t="shared" si="7"/>
        <v>0</v>
      </c>
    </row>
    <row r="53" spans="1:22" s="1" customFormat="1" ht="60" customHeight="1" x14ac:dyDescent="0.3">
      <c r="A53" s="9"/>
      <c r="B53" s="76" t="str">
        <f t="shared" si="1"/>
        <v>Click here</v>
      </c>
      <c r="C53" s="12"/>
      <c r="D53" s="34"/>
      <c r="E53" s="14"/>
      <c r="F53" s="13"/>
      <c r="G53" s="14"/>
      <c r="H53" s="11"/>
      <c r="I53" s="11"/>
      <c r="J53" s="14"/>
      <c r="K53" s="15"/>
      <c r="L53" s="15"/>
      <c r="M53" s="35"/>
      <c r="N53" s="13"/>
      <c r="O53" s="70"/>
      <c r="P53" s="18"/>
      <c r="Q53" s="13">
        <f t="shared" si="2"/>
        <v>0</v>
      </c>
      <c r="R53" s="11">
        <f t="shared" si="3"/>
        <v>0</v>
      </c>
      <c r="S53" s="13">
        <f t="shared" si="4"/>
        <v>0</v>
      </c>
      <c r="T53" s="13">
        <f t="shared" si="5"/>
        <v>0</v>
      </c>
      <c r="U53" s="13">
        <f t="shared" si="6"/>
        <v>0</v>
      </c>
      <c r="V53" s="13">
        <f t="shared" si="7"/>
        <v>0</v>
      </c>
    </row>
    <row r="54" spans="1:22" s="1" customFormat="1" ht="60" customHeight="1" x14ac:dyDescent="0.3">
      <c r="A54" s="9"/>
      <c r="B54" s="76" t="str">
        <f t="shared" si="1"/>
        <v>Click here</v>
      </c>
      <c r="C54" s="12"/>
      <c r="D54" s="34"/>
      <c r="E54" s="14"/>
      <c r="F54" s="13"/>
      <c r="G54" s="14"/>
      <c r="H54" s="11"/>
      <c r="I54" s="11"/>
      <c r="J54" s="14"/>
      <c r="K54" s="15"/>
      <c r="L54" s="15"/>
      <c r="M54" s="35"/>
      <c r="N54" s="13"/>
      <c r="O54" s="70"/>
      <c r="P54" s="18"/>
      <c r="Q54" s="13">
        <f t="shared" si="2"/>
        <v>0</v>
      </c>
      <c r="R54" s="11">
        <f t="shared" si="3"/>
        <v>0</v>
      </c>
      <c r="S54" s="13">
        <f t="shared" si="4"/>
        <v>0</v>
      </c>
      <c r="T54" s="13">
        <f t="shared" si="5"/>
        <v>0</v>
      </c>
      <c r="U54" s="13">
        <f t="shared" si="6"/>
        <v>0</v>
      </c>
      <c r="V54" s="13">
        <f t="shared" si="7"/>
        <v>0</v>
      </c>
    </row>
    <row r="55" spans="1:22" s="1" customFormat="1" ht="60" customHeight="1" x14ac:dyDescent="0.3">
      <c r="A55" s="9"/>
      <c r="B55" s="76" t="str">
        <f t="shared" si="1"/>
        <v>Click here</v>
      </c>
      <c r="C55" s="12"/>
      <c r="D55" s="34"/>
      <c r="E55" s="14"/>
      <c r="F55" s="13"/>
      <c r="G55" s="14"/>
      <c r="H55" s="11"/>
      <c r="I55" s="11"/>
      <c r="J55" s="14"/>
      <c r="K55" s="15"/>
      <c r="L55" s="15"/>
      <c r="M55" s="35"/>
      <c r="N55" s="13"/>
      <c r="O55" s="70"/>
      <c r="P55" s="18"/>
      <c r="Q55" s="13">
        <f t="shared" si="2"/>
        <v>0</v>
      </c>
      <c r="R55" s="11">
        <f t="shared" si="3"/>
        <v>0</v>
      </c>
      <c r="S55" s="13">
        <f t="shared" si="4"/>
        <v>0</v>
      </c>
      <c r="T55" s="13">
        <f t="shared" si="5"/>
        <v>0</v>
      </c>
      <c r="U55" s="13">
        <f t="shared" si="6"/>
        <v>0</v>
      </c>
      <c r="V55" s="13">
        <f t="shared" si="7"/>
        <v>0</v>
      </c>
    </row>
    <row r="56" spans="1:22" ht="60" customHeight="1" x14ac:dyDescent="0.3">
      <c r="A56" s="9"/>
      <c r="B56" s="76" t="str">
        <f t="shared" si="1"/>
        <v>Click here</v>
      </c>
      <c r="C56" s="12"/>
      <c r="D56" s="34"/>
      <c r="E56" s="14"/>
      <c r="F56" s="13"/>
      <c r="G56" s="14"/>
      <c r="H56" s="11"/>
      <c r="I56" s="11"/>
      <c r="J56" s="14"/>
      <c r="K56" s="15"/>
      <c r="L56" s="15"/>
      <c r="M56" s="35"/>
      <c r="N56" s="13"/>
      <c r="O56" s="70"/>
      <c r="P56" s="18"/>
      <c r="Q56" s="13">
        <f t="shared" si="2"/>
        <v>0</v>
      </c>
      <c r="R56" s="11">
        <f t="shared" ref="R56" si="8">I56*Q56</f>
        <v>0</v>
      </c>
      <c r="S56" s="13">
        <f t="shared" ref="S56" si="9">IFERROR(M56*P56, 0)</f>
        <v>0</v>
      </c>
      <c r="T56" s="13">
        <f t="shared" ref="T56" si="10">IF(OR(K56=" 115 x 77 ", K56 = "115 x 77"), P56,0)</f>
        <v>0</v>
      </c>
      <c r="U56" s="13">
        <f t="shared" ref="U56" si="11">IF(OR(K56=" 115 x 108 ", K56 = "115 x 108"), P56,0)</f>
        <v>0</v>
      </c>
      <c r="V56" s="13">
        <f t="shared" ref="V56" si="12">IF(OR(K56=" 115 x 115 ", K56 = "115 x 115"), P56,0)</f>
        <v>0</v>
      </c>
    </row>
    <row r="57" spans="1:22" ht="60" customHeight="1" x14ac:dyDescent="0.3">
      <c r="A57" s="9"/>
      <c r="B57" s="76" t="str">
        <f t="shared" si="1"/>
        <v>Click here</v>
      </c>
      <c r="C57" s="12"/>
      <c r="D57" s="34"/>
      <c r="E57" s="14"/>
      <c r="F57" s="13"/>
      <c r="G57" s="14"/>
      <c r="H57" s="11"/>
      <c r="I57" s="11"/>
      <c r="J57" s="14"/>
      <c r="K57" s="15"/>
      <c r="L57" s="15"/>
      <c r="M57" s="35"/>
      <c r="N57" s="13"/>
      <c r="O57" s="70"/>
      <c r="P57" s="18"/>
      <c r="Q57" s="13">
        <f t="shared" si="2"/>
        <v>0</v>
      </c>
      <c r="R57" s="11">
        <f t="shared" ref="R57:R120" si="13">I57*Q57</f>
        <v>0</v>
      </c>
      <c r="S57" s="13">
        <f t="shared" ref="S57:S120" si="14">IFERROR(M57*P57, 0)</f>
        <v>0</v>
      </c>
      <c r="T57" s="13">
        <f t="shared" ref="T57:T120" si="15">IF(OR(K57=" 115 x 77 ", K57 = "115 x 77"), P57,0)</f>
        <v>0</v>
      </c>
      <c r="U57" s="13">
        <f t="shared" ref="U57:U120" si="16">IF(OR(K57=" 115 x 108 ", K57 = "115 x 108"), P57,0)</f>
        <v>0</v>
      </c>
      <c r="V57" s="13">
        <f t="shared" ref="V57:V120" si="17">IF(OR(K57=" 115 x 115 ", K57 = "115 x 115"), P57,0)</f>
        <v>0</v>
      </c>
    </row>
    <row r="58" spans="1:22" ht="60" customHeight="1" x14ac:dyDescent="0.3">
      <c r="A58" s="9"/>
      <c r="B58" s="76" t="str">
        <f t="shared" si="1"/>
        <v>Click here</v>
      </c>
      <c r="C58" s="12"/>
      <c r="D58" s="34"/>
      <c r="E58" s="14"/>
      <c r="F58" s="13"/>
      <c r="G58" s="14"/>
      <c r="H58" s="11"/>
      <c r="I58" s="11"/>
      <c r="J58" s="14"/>
      <c r="K58" s="15"/>
      <c r="L58" s="15"/>
      <c r="M58" s="35"/>
      <c r="N58" s="13"/>
      <c r="O58" s="70"/>
      <c r="P58" s="18"/>
      <c r="Q58" s="13">
        <f t="shared" si="2"/>
        <v>0</v>
      </c>
      <c r="R58" s="11">
        <f t="shared" si="13"/>
        <v>0</v>
      </c>
      <c r="S58" s="13">
        <f t="shared" si="14"/>
        <v>0</v>
      </c>
      <c r="T58" s="13">
        <f t="shared" si="15"/>
        <v>0</v>
      </c>
      <c r="U58" s="13">
        <f t="shared" si="16"/>
        <v>0</v>
      </c>
      <c r="V58" s="13">
        <f t="shared" si="17"/>
        <v>0</v>
      </c>
    </row>
    <row r="59" spans="1:22" ht="60" customHeight="1" x14ac:dyDescent="0.3">
      <c r="A59" s="9"/>
      <c r="B59" s="76" t="str">
        <f t="shared" si="1"/>
        <v>Click here</v>
      </c>
      <c r="C59" s="12"/>
      <c r="D59" s="34"/>
      <c r="E59" s="14"/>
      <c r="F59" s="13"/>
      <c r="G59" s="14"/>
      <c r="H59" s="11"/>
      <c r="I59" s="11"/>
      <c r="J59" s="14"/>
      <c r="K59" s="15"/>
      <c r="L59" s="15"/>
      <c r="M59" s="35"/>
      <c r="N59" s="13"/>
      <c r="O59" s="70"/>
      <c r="P59" s="18"/>
      <c r="Q59" s="13">
        <f t="shared" si="2"/>
        <v>0</v>
      </c>
      <c r="R59" s="11">
        <f t="shared" si="13"/>
        <v>0</v>
      </c>
      <c r="S59" s="13">
        <f t="shared" si="14"/>
        <v>0</v>
      </c>
      <c r="T59" s="13">
        <f t="shared" si="15"/>
        <v>0</v>
      </c>
      <c r="U59" s="13">
        <f t="shared" si="16"/>
        <v>0</v>
      </c>
      <c r="V59" s="13">
        <f t="shared" si="17"/>
        <v>0</v>
      </c>
    </row>
    <row r="60" spans="1:22" ht="60" customHeight="1" x14ac:dyDescent="0.3">
      <c r="A60" s="9"/>
      <c r="B60" s="76" t="str">
        <f t="shared" si="1"/>
        <v>Click here</v>
      </c>
      <c r="C60" s="12"/>
      <c r="D60" s="34"/>
      <c r="E60" s="14"/>
      <c r="F60" s="13"/>
      <c r="G60" s="14"/>
      <c r="H60" s="11"/>
      <c r="I60" s="11"/>
      <c r="J60" s="14"/>
      <c r="K60" s="15"/>
      <c r="L60" s="15"/>
      <c r="M60" s="35"/>
      <c r="N60" s="13"/>
      <c r="O60" s="70"/>
      <c r="P60" s="18"/>
      <c r="Q60" s="13">
        <f t="shared" si="2"/>
        <v>0</v>
      </c>
      <c r="R60" s="11">
        <f t="shared" si="13"/>
        <v>0</v>
      </c>
      <c r="S60" s="13">
        <f t="shared" si="14"/>
        <v>0</v>
      </c>
      <c r="T60" s="13">
        <f t="shared" si="15"/>
        <v>0</v>
      </c>
      <c r="U60" s="13">
        <f t="shared" si="16"/>
        <v>0</v>
      </c>
      <c r="V60" s="13">
        <f t="shared" si="17"/>
        <v>0</v>
      </c>
    </row>
    <row r="61" spans="1:22" ht="60" customHeight="1" x14ac:dyDescent="0.3">
      <c r="A61" s="9"/>
      <c r="B61" s="76" t="str">
        <f t="shared" si="1"/>
        <v>Click here</v>
      </c>
      <c r="C61" s="12"/>
      <c r="D61" s="34"/>
      <c r="E61" s="14"/>
      <c r="F61" s="13"/>
      <c r="G61" s="14"/>
      <c r="H61" s="11"/>
      <c r="I61" s="11"/>
      <c r="J61" s="14"/>
      <c r="K61" s="15"/>
      <c r="L61" s="15"/>
      <c r="M61" s="35"/>
      <c r="N61" s="13"/>
      <c r="O61" s="70"/>
      <c r="P61" s="18"/>
      <c r="Q61" s="13">
        <f t="shared" si="2"/>
        <v>0</v>
      </c>
      <c r="R61" s="11">
        <f t="shared" si="13"/>
        <v>0</v>
      </c>
      <c r="S61" s="13">
        <f t="shared" si="14"/>
        <v>0</v>
      </c>
      <c r="T61" s="13">
        <f t="shared" si="15"/>
        <v>0</v>
      </c>
      <c r="U61" s="13">
        <f t="shared" si="16"/>
        <v>0</v>
      </c>
      <c r="V61" s="13">
        <f t="shared" si="17"/>
        <v>0</v>
      </c>
    </row>
    <row r="62" spans="1:22" ht="60" customHeight="1" x14ac:dyDescent="0.3">
      <c r="A62" s="9"/>
      <c r="B62" s="76" t="str">
        <f t="shared" si="1"/>
        <v>Click here</v>
      </c>
      <c r="C62" s="12"/>
      <c r="D62" s="34"/>
      <c r="E62" s="14"/>
      <c r="F62" s="13"/>
      <c r="G62" s="14"/>
      <c r="H62" s="11"/>
      <c r="I62" s="11"/>
      <c r="J62" s="14"/>
      <c r="K62" s="15"/>
      <c r="L62" s="15"/>
      <c r="M62" s="35"/>
      <c r="N62" s="13"/>
      <c r="O62" s="70"/>
      <c r="P62" s="18"/>
      <c r="Q62" s="13">
        <f t="shared" si="2"/>
        <v>0</v>
      </c>
      <c r="R62" s="11">
        <f t="shared" si="13"/>
        <v>0</v>
      </c>
      <c r="S62" s="13">
        <f t="shared" si="14"/>
        <v>0</v>
      </c>
      <c r="T62" s="13">
        <f t="shared" si="15"/>
        <v>0</v>
      </c>
      <c r="U62" s="13">
        <f t="shared" si="16"/>
        <v>0</v>
      </c>
      <c r="V62" s="13">
        <f t="shared" si="17"/>
        <v>0</v>
      </c>
    </row>
    <row r="63" spans="1:22" ht="60" customHeight="1" x14ac:dyDescent="0.3">
      <c r="A63" s="9"/>
      <c r="B63" s="76" t="str">
        <f t="shared" si="1"/>
        <v>Click here</v>
      </c>
      <c r="C63" s="12"/>
      <c r="D63" s="34"/>
      <c r="E63" s="14"/>
      <c r="F63" s="13"/>
      <c r="G63" s="14"/>
      <c r="H63" s="11"/>
      <c r="I63" s="11"/>
      <c r="J63" s="14"/>
      <c r="K63" s="15"/>
      <c r="L63" s="15"/>
      <c r="M63" s="35"/>
      <c r="N63" s="13"/>
      <c r="O63" s="70"/>
      <c r="P63" s="18"/>
      <c r="Q63" s="13">
        <f t="shared" si="2"/>
        <v>0</v>
      </c>
      <c r="R63" s="11">
        <f t="shared" si="13"/>
        <v>0</v>
      </c>
      <c r="S63" s="13">
        <f t="shared" si="14"/>
        <v>0</v>
      </c>
      <c r="T63" s="13">
        <f t="shared" si="15"/>
        <v>0</v>
      </c>
      <c r="U63" s="13">
        <f t="shared" si="16"/>
        <v>0</v>
      </c>
      <c r="V63" s="13">
        <f t="shared" si="17"/>
        <v>0</v>
      </c>
    </row>
    <row r="64" spans="1:22" ht="60" customHeight="1" x14ac:dyDescent="0.3">
      <c r="A64" s="9"/>
      <c r="B64" s="76" t="str">
        <f t="shared" si="1"/>
        <v>Click here</v>
      </c>
      <c r="C64" s="12"/>
      <c r="D64" s="34"/>
      <c r="E64" s="14"/>
      <c r="F64" s="13"/>
      <c r="G64" s="14"/>
      <c r="H64" s="11"/>
      <c r="I64" s="11"/>
      <c r="J64" s="14"/>
      <c r="K64" s="15"/>
      <c r="L64" s="15"/>
      <c r="M64" s="35"/>
      <c r="N64" s="13"/>
      <c r="O64" s="70"/>
      <c r="P64" s="18"/>
      <c r="Q64" s="13">
        <f t="shared" si="2"/>
        <v>0</v>
      </c>
      <c r="R64" s="11">
        <f t="shared" si="13"/>
        <v>0</v>
      </c>
      <c r="S64" s="13">
        <f t="shared" si="14"/>
        <v>0</v>
      </c>
      <c r="T64" s="13">
        <f t="shared" si="15"/>
        <v>0</v>
      </c>
      <c r="U64" s="13">
        <f t="shared" si="16"/>
        <v>0</v>
      </c>
      <c r="V64" s="13">
        <f t="shared" si="17"/>
        <v>0</v>
      </c>
    </row>
    <row r="65" spans="1:22" ht="60" customHeight="1" x14ac:dyDescent="0.3">
      <c r="A65" s="9"/>
      <c r="B65" s="76" t="str">
        <f t="shared" si="1"/>
        <v>Click here</v>
      </c>
      <c r="C65" s="12"/>
      <c r="D65" s="34"/>
      <c r="E65" s="14"/>
      <c r="F65" s="13"/>
      <c r="G65" s="14"/>
      <c r="H65" s="11"/>
      <c r="I65" s="11"/>
      <c r="J65" s="14"/>
      <c r="K65" s="15"/>
      <c r="L65" s="15"/>
      <c r="M65" s="35"/>
      <c r="N65" s="13"/>
      <c r="O65" s="70"/>
      <c r="P65" s="18"/>
      <c r="Q65" s="13">
        <f t="shared" si="2"/>
        <v>0</v>
      </c>
      <c r="R65" s="11">
        <f t="shared" si="13"/>
        <v>0</v>
      </c>
      <c r="S65" s="13">
        <f t="shared" si="14"/>
        <v>0</v>
      </c>
      <c r="T65" s="13">
        <f t="shared" si="15"/>
        <v>0</v>
      </c>
      <c r="U65" s="13">
        <f t="shared" si="16"/>
        <v>0</v>
      </c>
      <c r="V65" s="13">
        <f t="shared" si="17"/>
        <v>0</v>
      </c>
    </row>
    <row r="66" spans="1:22" ht="60" customHeight="1" x14ac:dyDescent="0.3">
      <c r="A66" s="9"/>
      <c r="B66" s="76" t="str">
        <f t="shared" si="1"/>
        <v>Click here</v>
      </c>
      <c r="C66" s="12"/>
      <c r="D66" s="34"/>
      <c r="E66" s="14"/>
      <c r="F66" s="13"/>
      <c r="G66" s="14"/>
      <c r="H66" s="11"/>
      <c r="I66" s="11"/>
      <c r="J66" s="14"/>
      <c r="K66" s="15"/>
      <c r="L66" s="15"/>
      <c r="M66" s="35"/>
      <c r="N66" s="13"/>
      <c r="O66" s="70"/>
      <c r="P66" s="18"/>
      <c r="Q66" s="13">
        <f t="shared" si="2"/>
        <v>0</v>
      </c>
      <c r="R66" s="11">
        <f t="shared" si="13"/>
        <v>0</v>
      </c>
      <c r="S66" s="13">
        <f t="shared" si="14"/>
        <v>0</v>
      </c>
      <c r="T66" s="13">
        <f t="shared" si="15"/>
        <v>0</v>
      </c>
      <c r="U66" s="13">
        <f t="shared" si="16"/>
        <v>0</v>
      </c>
      <c r="V66" s="13">
        <f t="shared" si="17"/>
        <v>0</v>
      </c>
    </row>
    <row r="67" spans="1:22" ht="60" customHeight="1" x14ac:dyDescent="0.3">
      <c r="A67" s="9"/>
      <c r="B67" s="76" t="str">
        <f t="shared" si="1"/>
        <v>Click here</v>
      </c>
      <c r="C67" s="12"/>
      <c r="D67" s="34"/>
      <c r="E67" s="14"/>
      <c r="F67" s="13"/>
      <c r="G67" s="14"/>
      <c r="H67" s="11"/>
      <c r="I67" s="11"/>
      <c r="J67" s="14"/>
      <c r="K67" s="15"/>
      <c r="L67" s="15"/>
      <c r="M67" s="35"/>
      <c r="N67" s="13"/>
      <c r="O67" s="70"/>
      <c r="P67" s="18"/>
      <c r="Q67" s="13">
        <f t="shared" si="2"/>
        <v>0</v>
      </c>
      <c r="R67" s="11">
        <f t="shared" si="13"/>
        <v>0</v>
      </c>
      <c r="S67" s="13">
        <f t="shared" si="14"/>
        <v>0</v>
      </c>
      <c r="T67" s="13">
        <f t="shared" si="15"/>
        <v>0</v>
      </c>
      <c r="U67" s="13">
        <f t="shared" si="16"/>
        <v>0</v>
      </c>
      <c r="V67" s="13">
        <f t="shared" si="17"/>
        <v>0</v>
      </c>
    </row>
    <row r="68" spans="1:22" ht="60" customHeight="1" x14ac:dyDescent="0.3">
      <c r="A68" s="9"/>
      <c r="B68" s="76" t="str">
        <f t="shared" si="1"/>
        <v>Click here</v>
      </c>
      <c r="C68" s="12"/>
      <c r="D68" s="34"/>
      <c r="E68" s="14"/>
      <c r="F68" s="13"/>
      <c r="G68" s="14"/>
      <c r="H68" s="11"/>
      <c r="I68" s="11"/>
      <c r="J68" s="14"/>
      <c r="K68" s="15"/>
      <c r="L68" s="15"/>
      <c r="M68" s="35"/>
      <c r="N68" s="13"/>
      <c r="O68" s="70"/>
      <c r="P68" s="18"/>
      <c r="Q68" s="13">
        <f t="shared" si="2"/>
        <v>0</v>
      </c>
      <c r="R68" s="11">
        <f t="shared" si="13"/>
        <v>0</v>
      </c>
      <c r="S68" s="13">
        <f t="shared" si="14"/>
        <v>0</v>
      </c>
      <c r="T68" s="13">
        <f t="shared" si="15"/>
        <v>0</v>
      </c>
      <c r="U68" s="13">
        <f t="shared" si="16"/>
        <v>0</v>
      </c>
      <c r="V68" s="13">
        <f t="shared" si="17"/>
        <v>0</v>
      </c>
    </row>
    <row r="69" spans="1:22" ht="60" customHeight="1" x14ac:dyDescent="0.3">
      <c r="A69" s="9"/>
      <c r="B69" s="76" t="str">
        <f t="shared" si="1"/>
        <v>Click here</v>
      </c>
      <c r="C69" s="12"/>
      <c r="D69" s="34"/>
      <c r="E69" s="14"/>
      <c r="F69" s="13"/>
      <c r="G69" s="14"/>
      <c r="H69" s="11"/>
      <c r="I69" s="11"/>
      <c r="J69" s="14"/>
      <c r="K69" s="15"/>
      <c r="L69" s="15"/>
      <c r="M69" s="35"/>
      <c r="N69" s="13"/>
      <c r="O69" s="70"/>
      <c r="P69" s="18"/>
      <c r="Q69" s="13">
        <f t="shared" si="2"/>
        <v>0</v>
      </c>
      <c r="R69" s="11">
        <f t="shared" si="13"/>
        <v>0</v>
      </c>
      <c r="S69" s="13">
        <f t="shared" si="14"/>
        <v>0</v>
      </c>
      <c r="T69" s="13">
        <f t="shared" si="15"/>
        <v>0</v>
      </c>
      <c r="U69" s="13">
        <f t="shared" si="16"/>
        <v>0</v>
      </c>
      <c r="V69" s="13">
        <f t="shared" si="17"/>
        <v>0</v>
      </c>
    </row>
    <row r="70" spans="1:22" ht="60" customHeight="1" x14ac:dyDescent="0.3">
      <c r="A70" s="9"/>
      <c r="B70" s="76" t="str">
        <f t="shared" si="1"/>
        <v>Click here</v>
      </c>
      <c r="C70" s="12"/>
      <c r="D70" s="34"/>
      <c r="E70" s="14"/>
      <c r="F70" s="13"/>
      <c r="G70" s="14"/>
      <c r="H70" s="11"/>
      <c r="I70" s="11"/>
      <c r="J70" s="14"/>
      <c r="K70" s="15"/>
      <c r="L70" s="15"/>
      <c r="M70" s="35"/>
      <c r="N70" s="13"/>
      <c r="O70" s="70"/>
      <c r="P70" s="18"/>
      <c r="Q70" s="13">
        <f t="shared" si="2"/>
        <v>0</v>
      </c>
      <c r="R70" s="11">
        <f t="shared" si="13"/>
        <v>0</v>
      </c>
      <c r="S70" s="13">
        <f t="shared" si="14"/>
        <v>0</v>
      </c>
      <c r="T70" s="13">
        <f t="shared" si="15"/>
        <v>0</v>
      </c>
      <c r="U70" s="13">
        <f t="shared" si="16"/>
        <v>0</v>
      </c>
      <c r="V70" s="13">
        <f t="shared" si="17"/>
        <v>0</v>
      </c>
    </row>
    <row r="71" spans="1:22" ht="60" customHeight="1" x14ac:dyDescent="0.3">
      <c r="A71" s="9"/>
      <c r="B71" s="76" t="str">
        <f t="shared" si="1"/>
        <v>Click here</v>
      </c>
      <c r="C71" s="12"/>
      <c r="D71" s="34"/>
      <c r="E71" s="14"/>
      <c r="F71" s="13"/>
      <c r="G71" s="14"/>
      <c r="H71" s="11"/>
      <c r="I71" s="11"/>
      <c r="J71" s="14"/>
      <c r="K71" s="15"/>
      <c r="L71" s="15"/>
      <c r="M71" s="35"/>
      <c r="N71" s="13"/>
      <c r="O71" s="70"/>
      <c r="P71" s="18"/>
      <c r="Q71" s="13">
        <f t="shared" si="2"/>
        <v>0</v>
      </c>
      <c r="R71" s="11">
        <f t="shared" si="13"/>
        <v>0</v>
      </c>
      <c r="S71" s="13">
        <f t="shared" si="14"/>
        <v>0</v>
      </c>
      <c r="T71" s="13">
        <f t="shared" si="15"/>
        <v>0</v>
      </c>
      <c r="U71" s="13">
        <f t="shared" si="16"/>
        <v>0</v>
      </c>
      <c r="V71" s="13">
        <f t="shared" si="17"/>
        <v>0</v>
      </c>
    </row>
    <row r="72" spans="1:22" ht="60" customHeight="1" x14ac:dyDescent="0.3">
      <c r="A72" s="9"/>
      <c r="B72" s="76" t="str">
        <f t="shared" si="1"/>
        <v>Click here</v>
      </c>
      <c r="C72" s="12"/>
      <c r="D72" s="34"/>
      <c r="E72" s="14"/>
      <c r="F72" s="13"/>
      <c r="G72" s="14"/>
      <c r="H72" s="11"/>
      <c r="I72" s="11"/>
      <c r="J72" s="14"/>
      <c r="K72" s="15"/>
      <c r="L72" s="15"/>
      <c r="M72" s="35"/>
      <c r="N72" s="13"/>
      <c r="O72" s="70"/>
      <c r="P72" s="18"/>
      <c r="Q72" s="13">
        <f t="shared" si="2"/>
        <v>0</v>
      </c>
      <c r="R72" s="11">
        <f t="shared" si="13"/>
        <v>0</v>
      </c>
      <c r="S72" s="13">
        <f t="shared" si="14"/>
        <v>0</v>
      </c>
      <c r="T72" s="13">
        <f t="shared" si="15"/>
        <v>0</v>
      </c>
      <c r="U72" s="13">
        <f t="shared" si="16"/>
        <v>0</v>
      </c>
      <c r="V72" s="13">
        <f t="shared" si="17"/>
        <v>0</v>
      </c>
    </row>
    <row r="73" spans="1:22" ht="60" customHeight="1" x14ac:dyDescent="0.3">
      <c r="A73" s="9"/>
      <c r="B73" s="76" t="str">
        <f t="shared" si="1"/>
        <v>Click here</v>
      </c>
      <c r="C73" s="12"/>
      <c r="D73" s="34"/>
      <c r="E73" s="14"/>
      <c r="F73" s="13"/>
      <c r="G73" s="14"/>
      <c r="H73" s="11"/>
      <c r="I73" s="11"/>
      <c r="J73" s="14"/>
      <c r="K73" s="15"/>
      <c r="L73" s="15"/>
      <c r="M73" s="35"/>
      <c r="N73" s="13"/>
      <c r="O73" s="70"/>
      <c r="P73" s="18"/>
      <c r="Q73" s="13">
        <f t="shared" si="2"/>
        <v>0</v>
      </c>
      <c r="R73" s="11">
        <f t="shared" si="13"/>
        <v>0</v>
      </c>
      <c r="S73" s="13">
        <f t="shared" si="14"/>
        <v>0</v>
      </c>
      <c r="T73" s="13">
        <f t="shared" si="15"/>
        <v>0</v>
      </c>
      <c r="U73" s="13">
        <f t="shared" si="16"/>
        <v>0</v>
      </c>
      <c r="V73" s="13">
        <f t="shared" si="17"/>
        <v>0</v>
      </c>
    </row>
    <row r="74" spans="1:22" ht="60" customHeight="1" x14ac:dyDescent="0.3">
      <c r="A74" s="9"/>
      <c r="B74" s="76" t="str">
        <f t="shared" si="1"/>
        <v>Click here</v>
      </c>
      <c r="C74" s="12"/>
      <c r="D74" s="34"/>
      <c r="E74" s="14"/>
      <c r="F74" s="13"/>
      <c r="G74" s="14"/>
      <c r="H74" s="11"/>
      <c r="I74" s="11"/>
      <c r="J74" s="14"/>
      <c r="K74" s="15"/>
      <c r="L74" s="15"/>
      <c r="M74" s="35"/>
      <c r="N74" s="13"/>
      <c r="O74" s="70"/>
      <c r="P74" s="18"/>
      <c r="Q74" s="13">
        <f t="shared" si="2"/>
        <v>0</v>
      </c>
      <c r="R74" s="11">
        <f t="shared" si="13"/>
        <v>0</v>
      </c>
      <c r="S74" s="13">
        <f t="shared" si="14"/>
        <v>0</v>
      </c>
      <c r="T74" s="13">
        <f t="shared" si="15"/>
        <v>0</v>
      </c>
      <c r="U74" s="13">
        <f t="shared" si="16"/>
        <v>0</v>
      </c>
      <c r="V74" s="13">
        <f t="shared" si="17"/>
        <v>0</v>
      </c>
    </row>
    <row r="75" spans="1:22" ht="60" customHeight="1" x14ac:dyDescent="0.3">
      <c r="A75" s="9"/>
      <c r="B75" s="76" t="str">
        <f t="shared" si="1"/>
        <v>Click here</v>
      </c>
      <c r="C75" s="12"/>
      <c r="D75" s="34"/>
      <c r="E75" s="14"/>
      <c r="F75" s="13"/>
      <c r="G75" s="14"/>
      <c r="H75" s="11"/>
      <c r="I75" s="11"/>
      <c r="J75" s="14"/>
      <c r="K75" s="15"/>
      <c r="L75" s="15"/>
      <c r="M75" s="35"/>
      <c r="N75" s="13"/>
      <c r="O75" s="70"/>
      <c r="P75" s="18"/>
      <c r="Q75" s="13">
        <f t="shared" si="2"/>
        <v>0</v>
      </c>
      <c r="R75" s="11">
        <f t="shared" si="13"/>
        <v>0</v>
      </c>
      <c r="S75" s="13">
        <f t="shared" si="14"/>
        <v>0</v>
      </c>
      <c r="T75" s="13">
        <f t="shared" si="15"/>
        <v>0</v>
      </c>
      <c r="U75" s="13">
        <f t="shared" si="16"/>
        <v>0</v>
      </c>
      <c r="V75" s="13">
        <f t="shared" si="17"/>
        <v>0</v>
      </c>
    </row>
    <row r="76" spans="1:22" ht="60" customHeight="1" x14ac:dyDescent="0.3">
      <c r="A76" s="9"/>
      <c r="B76" s="76" t="str">
        <f t="shared" si="1"/>
        <v>Click here</v>
      </c>
      <c r="C76" s="12"/>
      <c r="D76" s="34"/>
      <c r="E76" s="14"/>
      <c r="F76" s="13"/>
      <c r="G76" s="14"/>
      <c r="H76" s="11"/>
      <c r="I76" s="11"/>
      <c r="J76" s="14"/>
      <c r="K76" s="15"/>
      <c r="L76" s="15"/>
      <c r="M76" s="35"/>
      <c r="N76" s="13"/>
      <c r="O76" s="70"/>
      <c r="P76" s="18"/>
      <c r="Q76" s="13">
        <f t="shared" si="2"/>
        <v>0</v>
      </c>
      <c r="R76" s="11">
        <f t="shared" si="13"/>
        <v>0</v>
      </c>
      <c r="S76" s="13">
        <f t="shared" si="14"/>
        <v>0</v>
      </c>
      <c r="T76" s="13">
        <f t="shared" si="15"/>
        <v>0</v>
      </c>
      <c r="U76" s="13">
        <f t="shared" si="16"/>
        <v>0</v>
      </c>
      <c r="V76" s="13">
        <f t="shared" si="17"/>
        <v>0</v>
      </c>
    </row>
    <row r="77" spans="1:22" ht="60" customHeight="1" x14ac:dyDescent="0.3">
      <c r="A77" s="9"/>
      <c r="B77" s="76" t="str">
        <f t="shared" si="1"/>
        <v>Click here</v>
      </c>
      <c r="C77" s="12"/>
      <c r="D77" s="34"/>
      <c r="E77" s="14"/>
      <c r="F77" s="13"/>
      <c r="G77" s="14"/>
      <c r="H77" s="11"/>
      <c r="I77" s="11"/>
      <c r="J77" s="14"/>
      <c r="K77" s="15"/>
      <c r="L77" s="15"/>
      <c r="M77" s="35"/>
      <c r="N77" s="13"/>
      <c r="O77" s="70"/>
      <c r="P77" s="18"/>
      <c r="Q77" s="13">
        <f t="shared" si="2"/>
        <v>0</v>
      </c>
      <c r="R77" s="11">
        <f t="shared" si="13"/>
        <v>0</v>
      </c>
      <c r="S77" s="13">
        <f t="shared" si="14"/>
        <v>0</v>
      </c>
      <c r="T77" s="13">
        <f t="shared" si="15"/>
        <v>0</v>
      </c>
      <c r="U77" s="13">
        <f t="shared" si="16"/>
        <v>0</v>
      </c>
      <c r="V77" s="13">
        <f t="shared" si="17"/>
        <v>0</v>
      </c>
    </row>
    <row r="78" spans="1:22" ht="60" customHeight="1" x14ac:dyDescent="0.3">
      <c r="A78" s="9"/>
      <c r="B78" s="76" t="str">
        <f t="shared" si="1"/>
        <v>Click here</v>
      </c>
      <c r="C78" s="12"/>
      <c r="D78" s="34"/>
      <c r="E78" s="14"/>
      <c r="F78" s="13"/>
      <c r="G78" s="14"/>
      <c r="H78" s="11"/>
      <c r="I78" s="11"/>
      <c r="J78" s="14"/>
      <c r="K78" s="15"/>
      <c r="L78" s="15"/>
      <c r="M78" s="35"/>
      <c r="N78" s="13"/>
      <c r="O78" s="70"/>
      <c r="P78" s="18"/>
      <c r="Q78" s="13">
        <f t="shared" si="2"/>
        <v>0</v>
      </c>
      <c r="R78" s="11">
        <f t="shared" si="13"/>
        <v>0</v>
      </c>
      <c r="S78" s="13">
        <f t="shared" si="14"/>
        <v>0</v>
      </c>
      <c r="T78" s="13">
        <f t="shared" si="15"/>
        <v>0</v>
      </c>
      <c r="U78" s="13">
        <f t="shared" si="16"/>
        <v>0</v>
      </c>
      <c r="V78" s="13">
        <f t="shared" si="17"/>
        <v>0</v>
      </c>
    </row>
    <row r="79" spans="1:22" ht="60" customHeight="1" x14ac:dyDescent="0.3">
      <c r="A79" s="9"/>
      <c r="B79" s="76" t="str">
        <f t="shared" si="1"/>
        <v>Click here</v>
      </c>
      <c r="C79" s="12"/>
      <c r="D79" s="34"/>
      <c r="E79" s="14"/>
      <c r="F79" s="13"/>
      <c r="G79" s="14"/>
      <c r="H79" s="11"/>
      <c r="I79" s="11"/>
      <c r="J79" s="14"/>
      <c r="K79" s="15"/>
      <c r="L79" s="15"/>
      <c r="M79" s="35"/>
      <c r="N79" s="13"/>
      <c r="O79" s="70"/>
      <c r="P79" s="18"/>
      <c r="Q79" s="13">
        <f t="shared" si="2"/>
        <v>0</v>
      </c>
      <c r="R79" s="11">
        <f t="shared" si="13"/>
        <v>0</v>
      </c>
      <c r="S79" s="13">
        <f t="shared" si="14"/>
        <v>0</v>
      </c>
      <c r="T79" s="13">
        <f t="shared" si="15"/>
        <v>0</v>
      </c>
      <c r="U79" s="13">
        <f t="shared" si="16"/>
        <v>0</v>
      </c>
      <c r="V79" s="13">
        <f t="shared" si="17"/>
        <v>0</v>
      </c>
    </row>
    <row r="80" spans="1:22" ht="60" customHeight="1" x14ac:dyDescent="0.3">
      <c r="A80" s="9"/>
      <c r="B80" s="76" t="str">
        <f t="shared" ref="B80:B143" si="18">HYPERLINK(CONCATENATE("https://pim.edelman.nl/products/",D80,"/",D80,"01",".jpg"),"Click here")</f>
        <v>Click here</v>
      </c>
      <c r="C80" s="12"/>
      <c r="D80" s="34"/>
      <c r="E80" s="14"/>
      <c r="F80" s="13"/>
      <c r="G80" s="14"/>
      <c r="H80" s="11"/>
      <c r="I80" s="11"/>
      <c r="J80" s="14"/>
      <c r="K80" s="15"/>
      <c r="L80" s="15"/>
      <c r="M80" s="35"/>
      <c r="N80" s="13"/>
      <c r="O80" s="70"/>
      <c r="P80" s="18"/>
      <c r="Q80" s="13">
        <f t="shared" ref="Q80:Q143" si="19">P80*N80</f>
        <v>0</v>
      </c>
      <c r="R80" s="11">
        <f t="shared" si="13"/>
        <v>0</v>
      </c>
      <c r="S80" s="13">
        <f t="shared" si="14"/>
        <v>0</v>
      </c>
      <c r="T80" s="13">
        <f t="shared" si="15"/>
        <v>0</v>
      </c>
      <c r="U80" s="13">
        <f t="shared" si="16"/>
        <v>0</v>
      </c>
      <c r="V80" s="13">
        <f t="shared" si="17"/>
        <v>0</v>
      </c>
    </row>
    <row r="81" spans="1:22" ht="60" customHeight="1" x14ac:dyDescent="0.3">
      <c r="A81" s="9"/>
      <c r="B81" s="76" t="str">
        <f t="shared" si="18"/>
        <v>Click here</v>
      </c>
      <c r="C81" s="12"/>
      <c r="D81" s="34"/>
      <c r="E81" s="14"/>
      <c r="F81" s="13"/>
      <c r="G81" s="14"/>
      <c r="H81" s="11"/>
      <c r="I81" s="11"/>
      <c r="J81" s="14"/>
      <c r="K81" s="15"/>
      <c r="L81" s="15"/>
      <c r="M81" s="35"/>
      <c r="N81" s="13"/>
      <c r="O81" s="70"/>
      <c r="P81" s="18"/>
      <c r="Q81" s="13">
        <f t="shared" si="19"/>
        <v>0</v>
      </c>
      <c r="R81" s="11">
        <f t="shared" si="13"/>
        <v>0</v>
      </c>
      <c r="S81" s="13">
        <f t="shared" si="14"/>
        <v>0</v>
      </c>
      <c r="T81" s="13">
        <f t="shared" si="15"/>
        <v>0</v>
      </c>
      <c r="U81" s="13">
        <f t="shared" si="16"/>
        <v>0</v>
      </c>
      <c r="V81" s="13">
        <f t="shared" si="17"/>
        <v>0</v>
      </c>
    </row>
    <row r="82" spans="1:22" ht="60" customHeight="1" x14ac:dyDescent="0.3">
      <c r="A82" s="9"/>
      <c r="B82" s="76" t="str">
        <f t="shared" si="18"/>
        <v>Click here</v>
      </c>
      <c r="C82" s="12"/>
      <c r="D82" s="34"/>
      <c r="E82" s="14"/>
      <c r="F82" s="13"/>
      <c r="G82" s="14"/>
      <c r="H82" s="11"/>
      <c r="I82" s="11"/>
      <c r="J82" s="14"/>
      <c r="K82" s="15"/>
      <c r="L82" s="15"/>
      <c r="M82" s="35"/>
      <c r="N82" s="13"/>
      <c r="O82" s="70"/>
      <c r="P82" s="18"/>
      <c r="Q82" s="13">
        <f t="shared" si="19"/>
        <v>0</v>
      </c>
      <c r="R82" s="11">
        <f t="shared" si="13"/>
        <v>0</v>
      </c>
      <c r="S82" s="13">
        <f t="shared" si="14"/>
        <v>0</v>
      </c>
      <c r="T82" s="13">
        <f t="shared" si="15"/>
        <v>0</v>
      </c>
      <c r="U82" s="13">
        <f t="shared" si="16"/>
        <v>0</v>
      </c>
      <c r="V82" s="13">
        <f t="shared" si="17"/>
        <v>0</v>
      </c>
    </row>
    <row r="83" spans="1:22" ht="60" customHeight="1" x14ac:dyDescent="0.3">
      <c r="A83" s="9"/>
      <c r="B83" s="76" t="str">
        <f t="shared" si="18"/>
        <v>Click here</v>
      </c>
      <c r="C83" s="12"/>
      <c r="D83" s="34"/>
      <c r="E83" s="14"/>
      <c r="F83" s="13"/>
      <c r="G83" s="14"/>
      <c r="H83" s="11"/>
      <c r="I83" s="11"/>
      <c r="J83" s="14"/>
      <c r="K83" s="15"/>
      <c r="L83" s="15"/>
      <c r="M83" s="35"/>
      <c r="N83" s="13"/>
      <c r="O83" s="70"/>
      <c r="P83" s="18"/>
      <c r="Q83" s="13">
        <f t="shared" si="19"/>
        <v>0</v>
      </c>
      <c r="R83" s="11">
        <f t="shared" si="13"/>
        <v>0</v>
      </c>
      <c r="S83" s="13">
        <f t="shared" si="14"/>
        <v>0</v>
      </c>
      <c r="T83" s="13">
        <f t="shared" si="15"/>
        <v>0</v>
      </c>
      <c r="U83" s="13">
        <f t="shared" si="16"/>
        <v>0</v>
      </c>
      <c r="V83" s="13">
        <f t="shared" si="17"/>
        <v>0</v>
      </c>
    </row>
    <row r="84" spans="1:22" ht="60" customHeight="1" x14ac:dyDescent="0.3">
      <c r="A84" s="9"/>
      <c r="B84" s="76" t="str">
        <f t="shared" si="18"/>
        <v>Click here</v>
      </c>
      <c r="C84" s="12"/>
      <c r="D84" s="34"/>
      <c r="E84" s="14"/>
      <c r="F84" s="13"/>
      <c r="G84" s="14"/>
      <c r="H84" s="11"/>
      <c r="I84" s="11"/>
      <c r="J84" s="14"/>
      <c r="K84" s="15"/>
      <c r="L84" s="15"/>
      <c r="M84" s="35"/>
      <c r="N84" s="13"/>
      <c r="O84" s="70"/>
      <c r="P84" s="18"/>
      <c r="Q84" s="13">
        <f t="shared" si="19"/>
        <v>0</v>
      </c>
      <c r="R84" s="11">
        <f t="shared" si="13"/>
        <v>0</v>
      </c>
      <c r="S84" s="13">
        <f t="shared" si="14"/>
        <v>0</v>
      </c>
      <c r="T84" s="13">
        <f t="shared" si="15"/>
        <v>0</v>
      </c>
      <c r="U84" s="13">
        <f t="shared" si="16"/>
        <v>0</v>
      </c>
      <c r="V84" s="13">
        <f t="shared" si="17"/>
        <v>0</v>
      </c>
    </row>
    <row r="85" spans="1:22" ht="60" customHeight="1" x14ac:dyDescent="0.3">
      <c r="A85" s="9"/>
      <c r="B85" s="76" t="str">
        <f t="shared" si="18"/>
        <v>Click here</v>
      </c>
      <c r="C85" s="12"/>
      <c r="D85" s="34"/>
      <c r="E85" s="14"/>
      <c r="F85" s="13"/>
      <c r="G85" s="14"/>
      <c r="H85" s="11"/>
      <c r="I85" s="11"/>
      <c r="J85" s="14"/>
      <c r="K85" s="15"/>
      <c r="L85" s="15"/>
      <c r="M85" s="35"/>
      <c r="N85" s="13"/>
      <c r="O85" s="70"/>
      <c r="P85" s="18"/>
      <c r="Q85" s="13">
        <f t="shared" si="19"/>
        <v>0</v>
      </c>
      <c r="R85" s="11">
        <f t="shared" si="13"/>
        <v>0</v>
      </c>
      <c r="S85" s="13">
        <f t="shared" si="14"/>
        <v>0</v>
      </c>
      <c r="T85" s="13">
        <f t="shared" si="15"/>
        <v>0</v>
      </c>
      <c r="U85" s="13">
        <f t="shared" si="16"/>
        <v>0</v>
      </c>
      <c r="V85" s="13">
        <f t="shared" si="17"/>
        <v>0</v>
      </c>
    </row>
    <row r="86" spans="1:22" ht="60" customHeight="1" x14ac:dyDescent="0.3">
      <c r="A86" s="9"/>
      <c r="B86" s="76" t="str">
        <f t="shared" si="18"/>
        <v>Click here</v>
      </c>
      <c r="C86" s="12"/>
      <c r="D86" s="34"/>
      <c r="E86" s="14"/>
      <c r="F86" s="13"/>
      <c r="G86" s="14"/>
      <c r="H86" s="11"/>
      <c r="I86" s="11"/>
      <c r="J86" s="14"/>
      <c r="K86" s="15"/>
      <c r="L86" s="15"/>
      <c r="M86" s="35"/>
      <c r="N86" s="13"/>
      <c r="O86" s="70"/>
      <c r="P86" s="18"/>
      <c r="Q86" s="13">
        <f t="shared" si="19"/>
        <v>0</v>
      </c>
      <c r="R86" s="11">
        <f t="shared" si="13"/>
        <v>0</v>
      </c>
      <c r="S86" s="13">
        <f t="shared" si="14"/>
        <v>0</v>
      </c>
      <c r="T86" s="13">
        <f t="shared" si="15"/>
        <v>0</v>
      </c>
      <c r="U86" s="13">
        <f t="shared" si="16"/>
        <v>0</v>
      </c>
      <c r="V86" s="13">
        <f t="shared" si="17"/>
        <v>0</v>
      </c>
    </row>
    <row r="87" spans="1:22" ht="60" customHeight="1" x14ac:dyDescent="0.3">
      <c r="A87" s="9"/>
      <c r="B87" s="76" t="str">
        <f t="shared" si="18"/>
        <v>Click here</v>
      </c>
      <c r="C87" s="12"/>
      <c r="D87" s="34"/>
      <c r="E87" s="14"/>
      <c r="F87" s="13"/>
      <c r="G87" s="14"/>
      <c r="H87" s="11"/>
      <c r="I87" s="11"/>
      <c r="J87" s="14"/>
      <c r="K87" s="15"/>
      <c r="L87" s="15"/>
      <c r="M87" s="35"/>
      <c r="N87" s="13"/>
      <c r="O87" s="70"/>
      <c r="P87" s="18"/>
      <c r="Q87" s="13">
        <f t="shared" si="19"/>
        <v>0</v>
      </c>
      <c r="R87" s="11">
        <f t="shared" si="13"/>
        <v>0</v>
      </c>
      <c r="S87" s="13">
        <f t="shared" si="14"/>
        <v>0</v>
      </c>
      <c r="T87" s="13">
        <f t="shared" si="15"/>
        <v>0</v>
      </c>
      <c r="U87" s="13">
        <f t="shared" si="16"/>
        <v>0</v>
      </c>
      <c r="V87" s="13">
        <f t="shared" si="17"/>
        <v>0</v>
      </c>
    </row>
    <row r="88" spans="1:22" ht="60" customHeight="1" x14ac:dyDescent="0.3">
      <c r="A88" s="9"/>
      <c r="B88" s="76" t="str">
        <f t="shared" si="18"/>
        <v>Click here</v>
      </c>
      <c r="C88" s="12"/>
      <c r="D88" s="34"/>
      <c r="E88" s="14"/>
      <c r="F88" s="13"/>
      <c r="G88" s="14"/>
      <c r="H88" s="11"/>
      <c r="I88" s="11"/>
      <c r="J88" s="14"/>
      <c r="K88" s="15"/>
      <c r="L88" s="15"/>
      <c r="M88" s="35"/>
      <c r="N88" s="13"/>
      <c r="O88" s="70"/>
      <c r="P88" s="18"/>
      <c r="Q88" s="13">
        <f t="shared" si="19"/>
        <v>0</v>
      </c>
      <c r="R88" s="11">
        <f t="shared" si="13"/>
        <v>0</v>
      </c>
      <c r="S88" s="13">
        <f t="shared" si="14"/>
        <v>0</v>
      </c>
      <c r="T88" s="13">
        <f t="shared" si="15"/>
        <v>0</v>
      </c>
      <c r="U88" s="13">
        <f t="shared" si="16"/>
        <v>0</v>
      </c>
      <c r="V88" s="13">
        <f t="shared" si="17"/>
        <v>0</v>
      </c>
    </row>
    <row r="89" spans="1:22" ht="60" customHeight="1" x14ac:dyDescent="0.3">
      <c r="A89" s="9"/>
      <c r="B89" s="76" t="str">
        <f t="shared" si="18"/>
        <v>Click here</v>
      </c>
      <c r="C89" s="12"/>
      <c r="D89" s="34"/>
      <c r="E89" s="14"/>
      <c r="F89" s="13"/>
      <c r="G89" s="14"/>
      <c r="H89" s="11"/>
      <c r="I89" s="11"/>
      <c r="J89" s="14"/>
      <c r="K89" s="15"/>
      <c r="L89" s="15"/>
      <c r="M89" s="35"/>
      <c r="N89" s="13"/>
      <c r="O89" s="70"/>
      <c r="P89" s="18"/>
      <c r="Q89" s="13">
        <f t="shared" si="19"/>
        <v>0</v>
      </c>
      <c r="R89" s="11">
        <f t="shared" si="13"/>
        <v>0</v>
      </c>
      <c r="S89" s="13">
        <f t="shared" si="14"/>
        <v>0</v>
      </c>
      <c r="T89" s="13">
        <f t="shared" si="15"/>
        <v>0</v>
      </c>
      <c r="U89" s="13">
        <f t="shared" si="16"/>
        <v>0</v>
      </c>
      <c r="V89" s="13">
        <f t="shared" si="17"/>
        <v>0</v>
      </c>
    </row>
    <row r="90" spans="1:22" ht="60" customHeight="1" x14ac:dyDescent="0.3">
      <c r="A90" s="9"/>
      <c r="B90" s="76" t="str">
        <f t="shared" si="18"/>
        <v>Click here</v>
      </c>
      <c r="C90" s="12"/>
      <c r="D90" s="34"/>
      <c r="E90" s="14"/>
      <c r="F90" s="13"/>
      <c r="G90" s="14"/>
      <c r="H90" s="11"/>
      <c r="I90" s="11"/>
      <c r="J90" s="14"/>
      <c r="K90" s="15"/>
      <c r="L90" s="15"/>
      <c r="M90" s="35"/>
      <c r="N90" s="13"/>
      <c r="O90" s="70"/>
      <c r="P90" s="18"/>
      <c r="Q90" s="13">
        <f t="shared" si="19"/>
        <v>0</v>
      </c>
      <c r="R90" s="11">
        <f t="shared" si="13"/>
        <v>0</v>
      </c>
      <c r="S90" s="13">
        <f t="shared" si="14"/>
        <v>0</v>
      </c>
      <c r="T90" s="13">
        <f t="shared" si="15"/>
        <v>0</v>
      </c>
      <c r="U90" s="13">
        <f t="shared" si="16"/>
        <v>0</v>
      </c>
      <c r="V90" s="13">
        <f t="shared" si="17"/>
        <v>0</v>
      </c>
    </row>
    <row r="91" spans="1:22" ht="60" customHeight="1" x14ac:dyDescent="0.3">
      <c r="A91" s="9"/>
      <c r="B91" s="76" t="str">
        <f t="shared" si="18"/>
        <v>Click here</v>
      </c>
      <c r="C91" s="12"/>
      <c r="D91" s="34"/>
      <c r="E91" s="14"/>
      <c r="F91" s="13"/>
      <c r="G91" s="14"/>
      <c r="H91" s="11"/>
      <c r="I91" s="11"/>
      <c r="J91" s="14"/>
      <c r="K91" s="15"/>
      <c r="L91" s="15"/>
      <c r="M91" s="35"/>
      <c r="N91" s="13"/>
      <c r="O91" s="70"/>
      <c r="P91" s="18"/>
      <c r="Q91" s="13">
        <f t="shared" si="19"/>
        <v>0</v>
      </c>
      <c r="R91" s="11">
        <f t="shared" si="13"/>
        <v>0</v>
      </c>
      <c r="S91" s="13">
        <f t="shared" si="14"/>
        <v>0</v>
      </c>
      <c r="T91" s="13">
        <f t="shared" si="15"/>
        <v>0</v>
      </c>
      <c r="U91" s="13">
        <f t="shared" si="16"/>
        <v>0</v>
      </c>
      <c r="V91" s="13">
        <f t="shared" si="17"/>
        <v>0</v>
      </c>
    </row>
    <row r="92" spans="1:22" ht="60" customHeight="1" x14ac:dyDescent="0.3">
      <c r="A92" s="9"/>
      <c r="B92" s="76" t="str">
        <f t="shared" si="18"/>
        <v>Click here</v>
      </c>
      <c r="C92" s="12"/>
      <c r="D92" s="34"/>
      <c r="E92" s="14"/>
      <c r="F92" s="13"/>
      <c r="G92" s="14"/>
      <c r="H92" s="11"/>
      <c r="I92" s="11"/>
      <c r="J92" s="14"/>
      <c r="K92" s="15"/>
      <c r="L92" s="15"/>
      <c r="M92" s="35"/>
      <c r="N92" s="13"/>
      <c r="O92" s="70"/>
      <c r="P92" s="18"/>
      <c r="Q92" s="13">
        <f t="shared" si="19"/>
        <v>0</v>
      </c>
      <c r="R92" s="11">
        <f t="shared" si="13"/>
        <v>0</v>
      </c>
      <c r="S92" s="13">
        <f t="shared" si="14"/>
        <v>0</v>
      </c>
      <c r="T92" s="13">
        <f t="shared" si="15"/>
        <v>0</v>
      </c>
      <c r="U92" s="13">
        <f t="shared" si="16"/>
        <v>0</v>
      </c>
      <c r="V92" s="13">
        <f t="shared" si="17"/>
        <v>0</v>
      </c>
    </row>
    <row r="93" spans="1:22" ht="60" customHeight="1" x14ac:dyDescent="0.3">
      <c r="A93" s="9"/>
      <c r="B93" s="76" t="str">
        <f t="shared" si="18"/>
        <v>Click here</v>
      </c>
      <c r="C93" s="12"/>
      <c r="D93" s="34"/>
      <c r="E93" s="14"/>
      <c r="F93" s="13"/>
      <c r="G93" s="14"/>
      <c r="H93" s="11"/>
      <c r="I93" s="11"/>
      <c r="J93" s="14"/>
      <c r="K93" s="15"/>
      <c r="L93" s="15"/>
      <c r="M93" s="35"/>
      <c r="N93" s="13"/>
      <c r="O93" s="70"/>
      <c r="P93" s="18"/>
      <c r="Q93" s="13">
        <f t="shared" si="19"/>
        <v>0</v>
      </c>
      <c r="R93" s="11">
        <f t="shared" si="13"/>
        <v>0</v>
      </c>
      <c r="S93" s="13">
        <f t="shared" si="14"/>
        <v>0</v>
      </c>
      <c r="T93" s="13">
        <f t="shared" si="15"/>
        <v>0</v>
      </c>
      <c r="U93" s="13">
        <f t="shared" si="16"/>
        <v>0</v>
      </c>
      <c r="V93" s="13">
        <f t="shared" si="17"/>
        <v>0</v>
      </c>
    </row>
    <row r="94" spans="1:22" ht="60" customHeight="1" x14ac:dyDescent="0.3">
      <c r="A94" s="9"/>
      <c r="B94" s="76" t="str">
        <f t="shared" si="18"/>
        <v>Click here</v>
      </c>
      <c r="C94" s="12"/>
      <c r="D94" s="34"/>
      <c r="E94" s="14"/>
      <c r="F94" s="13"/>
      <c r="G94" s="14"/>
      <c r="H94" s="11"/>
      <c r="I94" s="11"/>
      <c r="J94" s="14"/>
      <c r="K94" s="15"/>
      <c r="L94" s="15"/>
      <c r="M94" s="35"/>
      <c r="N94" s="13"/>
      <c r="O94" s="70"/>
      <c r="P94" s="18"/>
      <c r="Q94" s="13">
        <f t="shared" si="19"/>
        <v>0</v>
      </c>
      <c r="R94" s="11">
        <f t="shared" si="13"/>
        <v>0</v>
      </c>
      <c r="S94" s="13">
        <f t="shared" si="14"/>
        <v>0</v>
      </c>
      <c r="T94" s="13">
        <f t="shared" si="15"/>
        <v>0</v>
      </c>
      <c r="U94" s="13">
        <f t="shared" si="16"/>
        <v>0</v>
      </c>
      <c r="V94" s="13">
        <f t="shared" si="17"/>
        <v>0</v>
      </c>
    </row>
    <row r="95" spans="1:22" ht="60" customHeight="1" x14ac:dyDescent="0.3">
      <c r="A95" s="9"/>
      <c r="B95" s="76" t="str">
        <f t="shared" si="18"/>
        <v>Click here</v>
      </c>
      <c r="C95" s="12"/>
      <c r="D95" s="34"/>
      <c r="E95" s="14"/>
      <c r="F95" s="13"/>
      <c r="G95" s="14"/>
      <c r="H95" s="11"/>
      <c r="I95" s="11"/>
      <c r="J95" s="14"/>
      <c r="K95" s="15"/>
      <c r="L95" s="15"/>
      <c r="M95" s="35"/>
      <c r="N95" s="13"/>
      <c r="O95" s="70"/>
      <c r="P95" s="18"/>
      <c r="Q95" s="13">
        <f t="shared" si="19"/>
        <v>0</v>
      </c>
      <c r="R95" s="11">
        <f t="shared" si="13"/>
        <v>0</v>
      </c>
      <c r="S95" s="13">
        <f t="shared" si="14"/>
        <v>0</v>
      </c>
      <c r="T95" s="13">
        <f t="shared" si="15"/>
        <v>0</v>
      </c>
      <c r="U95" s="13">
        <f t="shared" si="16"/>
        <v>0</v>
      </c>
      <c r="V95" s="13">
        <f t="shared" si="17"/>
        <v>0</v>
      </c>
    </row>
    <row r="96" spans="1:22" ht="60" customHeight="1" x14ac:dyDescent="0.3">
      <c r="A96" s="9"/>
      <c r="B96" s="76" t="str">
        <f t="shared" si="18"/>
        <v>Click here</v>
      </c>
      <c r="C96" s="12"/>
      <c r="D96" s="34"/>
      <c r="E96" s="14"/>
      <c r="F96" s="13"/>
      <c r="G96" s="14"/>
      <c r="H96" s="11"/>
      <c r="I96" s="11"/>
      <c r="J96" s="14"/>
      <c r="K96" s="15"/>
      <c r="L96" s="15"/>
      <c r="M96" s="35"/>
      <c r="N96" s="13"/>
      <c r="O96" s="70"/>
      <c r="P96" s="18"/>
      <c r="Q96" s="13">
        <f t="shared" si="19"/>
        <v>0</v>
      </c>
      <c r="R96" s="11">
        <f t="shared" si="13"/>
        <v>0</v>
      </c>
      <c r="S96" s="13">
        <f t="shared" si="14"/>
        <v>0</v>
      </c>
      <c r="T96" s="13">
        <f t="shared" si="15"/>
        <v>0</v>
      </c>
      <c r="U96" s="13">
        <f t="shared" si="16"/>
        <v>0</v>
      </c>
      <c r="V96" s="13">
        <f t="shared" si="17"/>
        <v>0</v>
      </c>
    </row>
    <row r="97" spans="1:22" ht="60" customHeight="1" x14ac:dyDescent="0.3">
      <c r="A97" s="9"/>
      <c r="B97" s="76" t="str">
        <f t="shared" si="18"/>
        <v>Click here</v>
      </c>
      <c r="C97" s="12"/>
      <c r="D97" s="34"/>
      <c r="E97" s="14"/>
      <c r="F97" s="13"/>
      <c r="G97" s="14"/>
      <c r="H97" s="11"/>
      <c r="I97" s="11"/>
      <c r="J97" s="14"/>
      <c r="K97" s="15"/>
      <c r="L97" s="15"/>
      <c r="M97" s="35"/>
      <c r="N97" s="13"/>
      <c r="O97" s="70"/>
      <c r="P97" s="18"/>
      <c r="Q97" s="13">
        <f t="shared" si="19"/>
        <v>0</v>
      </c>
      <c r="R97" s="11">
        <f t="shared" si="13"/>
        <v>0</v>
      </c>
      <c r="S97" s="13">
        <f t="shared" si="14"/>
        <v>0</v>
      </c>
      <c r="T97" s="13">
        <f t="shared" si="15"/>
        <v>0</v>
      </c>
      <c r="U97" s="13">
        <f t="shared" si="16"/>
        <v>0</v>
      </c>
      <c r="V97" s="13">
        <f t="shared" si="17"/>
        <v>0</v>
      </c>
    </row>
    <row r="98" spans="1:22" ht="60" customHeight="1" x14ac:dyDescent="0.3">
      <c r="A98" s="9"/>
      <c r="B98" s="76" t="str">
        <f t="shared" si="18"/>
        <v>Click here</v>
      </c>
      <c r="C98" s="12"/>
      <c r="D98" s="34"/>
      <c r="E98" s="14"/>
      <c r="F98" s="13"/>
      <c r="G98" s="14"/>
      <c r="H98" s="11"/>
      <c r="I98" s="11"/>
      <c r="J98" s="14"/>
      <c r="K98" s="15"/>
      <c r="L98" s="15"/>
      <c r="M98" s="35"/>
      <c r="N98" s="13"/>
      <c r="O98" s="70"/>
      <c r="P98" s="18"/>
      <c r="Q98" s="13">
        <f t="shared" si="19"/>
        <v>0</v>
      </c>
      <c r="R98" s="11">
        <f t="shared" si="13"/>
        <v>0</v>
      </c>
      <c r="S98" s="13">
        <f t="shared" si="14"/>
        <v>0</v>
      </c>
      <c r="T98" s="13">
        <f t="shared" si="15"/>
        <v>0</v>
      </c>
      <c r="U98" s="13">
        <f t="shared" si="16"/>
        <v>0</v>
      </c>
      <c r="V98" s="13">
        <f t="shared" si="17"/>
        <v>0</v>
      </c>
    </row>
    <row r="99" spans="1:22" ht="60" customHeight="1" x14ac:dyDescent="0.3">
      <c r="A99" s="9"/>
      <c r="B99" s="76" t="str">
        <f t="shared" si="18"/>
        <v>Click here</v>
      </c>
      <c r="C99" s="12"/>
      <c r="D99" s="34"/>
      <c r="E99" s="14"/>
      <c r="F99" s="13"/>
      <c r="G99" s="14"/>
      <c r="H99" s="11"/>
      <c r="I99" s="11"/>
      <c r="J99" s="14"/>
      <c r="K99" s="15"/>
      <c r="L99" s="15"/>
      <c r="M99" s="35"/>
      <c r="N99" s="13"/>
      <c r="O99" s="70"/>
      <c r="P99" s="18"/>
      <c r="Q99" s="13">
        <f t="shared" si="19"/>
        <v>0</v>
      </c>
      <c r="R99" s="11">
        <f t="shared" si="13"/>
        <v>0</v>
      </c>
      <c r="S99" s="13">
        <f t="shared" si="14"/>
        <v>0</v>
      </c>
      <c r="T99" s="13">
        <f t="shared" si="15"/>
        <v>0</v>
      </c>
      <c r="U99" s="13">
        <f t="shared" si="16"/>
        <v>0</v>
      </c>
      <c r="V99" s="13">
        <f t="shared" si="17"/>
        <v>0</v>
      </c>
    </row>
    <row r="100" spans="1:22" ht="60" customHeight="1" x14ac:dyDescent="0.3">
      <c r="A100" s="9"/>
      <c r="B100" s="76" t="str">
        <f t="shared" si="18"/>
        <v>Click here</v>
      </c>
      <c r="C100" s="12"/>
      <c r="D100" s="34"/>
      <c r="E100" s="14"/>
      <c r="F100" s="13"/>
      <c r="G100" s="14"/>
      <c r="H100" s="11"/>
      <c r="I100" s="11"/>
      <c r="J100" s="14"/>
      <c r="K100" s="15"/>
      <c r="L100" s="15"/>
      <c r="M100" s="35"/>
      <c r="N100" s="13"/>
      <c r="O100" s="70"/>
      <c r="P100" s="18"/>
      <c r="Q100" s="13">
        <f t="shared" si="19"/>
        <v>0</v>
      </c>
      <c r="R100" s="11">
        <f t="shared" si="13"/>
        <v>0</v>
      </c>
      <c r="S100" s="13">
        <f t="shared" si="14"/>
        <v>0</v>
      </c>
      <c r="T100" s="13">
        <f t="shared" si="15"/>
        <v>0</v>
      </c>
      <c r="U100" s="13">
        <f t="shared" si="16"/>
        <v>0</v>
      </c>
      <c r="V100" s="13">
        <f t="shared" si="17"/>
        <v>0</v>
      </c>
    </row>
    <row r="101" spans="1:22" ht="60" customHeight="1" x14ac:dyDescent="0.3">
      <c r="A101" s="9"/>
      <c r="B101" s="76" t="str">
        <f t="shared" si="18"/>
        <v>Click here</v>
      </c>
      <c r="C101" s="12"/>
      <c r="D101" s="34"/>
      <c r="E101" s="14"/>
      <c r="F101" s="13"/>
      <c r="G101" s="14"/>
      <c r="H101" s="11"/>
      <c r="I101" s="11"/>
      <c r="J101" s="14"/>
      <c r="K101" s="15"/>
      <c r="L101" s="15"/>
      <c r="M101" s="35"/>
      <c r="N101" s="13"/>
      <c r="O101" s="70"/>
      <c r="P101" s="18"/>
      <c r="Q101" s="13">
        <f t="shared" si="19"/>
        <v>0</v>
      </c>
      <c r="R101" s="11">
        <f t="shared" si="13"/>
        <v>0</v>
      </c>
      <c r="S101" s="13">
        <f t="shared" si="14"/>
        <v>0</v>
      </c>
      <c r="T101" s="13">
        <f t="shared" si="15"/>
        <v>0</v>
      </c>
      <c r="U101" s="13">
        <f t="shared" si="16"/>
        <v>0</v>
      </c>
      <c r="V101" s="13">
        <f t="shared" si="17"/>
        <v>0</v>
      </c>
    </row>
    <row r="102" spans="1:22" ht="60" customHeight="1" x14ac:dyDescent="0.3">
      <c r="A102" s="9"/>
      <c r="B102" s="76" t="str">
        <f t="shared" si="18"/>
        <v>Click here</v>
      </c>
      <c r="C102" s="12"/>
      <c r="D102" s="34"/>
      <c r="E102" s="14"/>
      <c r="F102" s="13"/>
      <c r="G102" s="14"/>
      <c r="H102" s="11"/>
      <c r="I102" s="11"/>
      <c r="J102" s="14"/>
      <c r="K102" s="15"/>
      <c r="L102" s="15"/>
      <c r="M102" s="35"/>
      <c r="N102" s="13"/>
      <c r="O102" s="70"/>
      <c r="P102" s="18"/>
      <c r="Q102" s="13">
        <f t="shared" si="19"/>
        <v>0</v>
      </c>
      <c r="R102" s="11">
        <f t="shared" si="13"/>
        <v>0</v>
      </c>
      <c r="S102" s="13">
        <f t="shared" si="14"/>
        <v>0</v>
      </c>
      <c r="T102" s="13">
        <f t="shared" si="15"/>
        <v>0</v>
      </c>
      <c r="U102" s="13">
        <f t="shared" si="16"/>
        <v>0</v>
      </c>
      <c r="V102" s="13">
        <f t="shared" si="17"/>
        <v>0</v>
      </c>
    </row>
    <row r="103" spans="1:22" ht="60" customHeight="1" x14ac:dyDescent="0.3">
      <c r="A103" s="9"/>
      <c r="B103" s="76" t="str">
        <f t="shared" si="18"/>
        <v>Click here</v>
      </c>
      <c r="C103" s="12"/>
      <c r="D103" s="34"/>
      <c r="E103" s="14"/>
      <c r="F103" s="13"/>
      <c r="G103" s="14"/>
      <c r="H103" s="11"/>
      <c r="I103" s="11"/>
      <c r="J103" s="14"/>
      <c r="K103" s="15"/>
      <c r="L103" s="15"/>
      <c r="M103" s="35"/>
      <c r="N103" s="13"/>
      <c r="O103" s="70"/>
      <c r="P103" s="18"/>
      <c r="Q103" s="13">
        <f t="shared" si="19"/>
        <v>0</v>
      </c>
      <c r="R103" s="11">
        <f t="shared" si="13"/>
        <v>0</v>
      </c>
      <c r="S103" s="13">
        <f t="shared" si="14"/>
        <v>0</v>
      </c>
      <c r="T103" s="13">
        <f t="shared" si="15"/>
        <v>0</v>
      </c>
      <c r="U103" s="13">
        <f t="shared" si="16"/>
        <v>0</v>
      </c>
      <c r="V103" s="13">
        <f t="shared" si="17"/>
        <v>0</v>
      </c>
    </row>
    <row r="104" spans="1:22" ht="60" customHeight="1" x14ac:dyDescent="0.3">
      <c r="A104" s="9"/>
      <c r="B104" s="76" t="str">
        <f t="shared" si="18"/>
        <v>Click here</v>
      </c>
      <c r="C104" s="12"/>
      <c r="D104" s="34"/>
      <c r="E104" s="14"/>
      <c r="F104" s="13"/>
      <c r="G104" s="14"/>
      <c r="H104" s="11"/>
      <c r="I104" s="11"/>
      <c r="J104" s="14"/>
      <c r="K104" s="15"/>
      <c r="L104" s="15"/>
      <c r="M104" s="35"/>
      <c r="N104" s="13"/>
      <c r="O104" s="70"/>
      <c r="P104" s="18"/>
      <c r="Q104" s="13">
        <f t="shared" si="19"/>
        <v>0</v>
      </c>
      <c r="R104" s="11">
        <f t="shared" si="13"/>
        <v>0</v>
      </c>
      <c r="S104" s="13">
        <f t="shared" si="14"/>
        <v>0</v>
      </c>
      <c r="T104" s="13">
        <f t="shared" si="15"/>
        <v>0</v>
      </c>
      <c r="U104" s="13">
        <f t="shared" si="16"/>
        <v>0</v>
      </c>
      <c r="V104" s="13">
        <f t="shared" si="17"/>
        <v>0</v>
      </c>
    </row>
    <row r="105" spans="1:22" ht="60" customHeight="1" x14ac:dyDescent="0.3">
      <c r="A105" s="9"/>
      <c r="B105" s="76" t="str">
        <f t="shared" si="18"/>
        <v>Click here</v>
      </c>
      <c r="C105" s="12"/>
      <c r="D105" s="34"/>
      <c r="E105" s="14"/>
      <c r="F105" s="13"/>
      <c r="G105" s="14"/>
      <c r="H105" s="11"/>
      <c r="I105" s="11"/>
      <c r="J105" s="14"/>
      <c r="K105" s="15"/>
      <c r="L105" s="15"/>
      <c r="M105" s="35"/>
      <c r="N105" s="13"/>
      <c r="O105" s="70"/>
      <c r="P105" s="18"/>
      <c r="Q105" s="13">
        <f t="shared" si="19"/>
        <v>0</v>
      </c>
      <c r="R105" s="11">
        <f t="shared" si="13"/>
        <v>0</v>
      </c>
      <c r="S105" s="13">
        <f t="shared" si="14"/>
        <v>0</v>
      </c>
      <c r="T105" s="13">
        <f t="shared" si="15"/>
        <v>0</v>
      </c>
      <c r="U105" s="13">
        <f t="shared" si="16"/>
        <v>0</v>
      </c>
      <c r="V105" s="13">
        <f t="shared" si="17"/>
        <v>0</v>
      </c>
    </row>
    <row r="106" spans="1:22" ht="60" customHeight="1" x14ac:dyDescent="0.3">
      <c r="A106" s="9"/>
      <c r="B106" s="76" t="str">
        <f t="shared" si="18"/>
        <v>Click here</v>
      </c>
      <c r="C106" s="12"/>
      <c r="D106" s="34"/>
      <c r="E106" s="14"/>
      <c r="F106" s="13"/>
      <c r="G106" s="14"/>
      <c r="H106" s="11"/>
      <c r="I106" s="11"/>
      <c r="J106" s="14"/>
      <c r="K106" s="15"/>
      <c r="L106" s="15"/>
      <c r="M106" s="35"/>
      <c r="N106" s="13"/>
      <c r="O106" s="70"/>
      <c r="P106" s="18"/>
      <c r="Q106" s="13">
        <f t="shared" si="19"/>
        <v>0</v>
      </c>
      <c r="R106" s="11">
        <f t="shared" si="13"/>
        <v>0</v>
      </c>
      <c r="S106" s="13">
        <f t="shared" si="14"/>
        <v>0</v>
      </c>
      <c r="T106" s="13">
        <f t="shared" si="15"/>
        <v>0</v>
      </c>
      <c r="U106" s="13">
        <f t="shared" si="16"/>
        <v>0</v>
      </c>
      <c r="V106" s="13">
        <f t="shared" si="17"/>
        <v>0</v>
      </c>
    </row>
    <row r="107" spans="1:22" ht="60" customHeight="1" x14ac:dyDescent="0.3">
      <c r="A107" s="9"/>
      <c r="B107" s="76" t="str">
        <f t="shared" si="18"/>
        <v>Click here</v>
      </c>
      <c r="C107" s="12"/>
      <c r="D107" s="34"/>
      <c r="E107" s="14"/>
      <c r="F107" s="13"/>
      <c r="G107" s="14"/>
      <c r="H107" s="11"/>
      <c r="I107" s="11"/>
      <c r="J107" s="14"/>
      <c r="K107" s="15"/>
      <c r="L107" s="15"/>
      <c r="M107" s="35"/>
      <c r="N107" s="13"/>
      <c r="O107" s="70"/>
      <c r="P107" s="18"/>
      <c r="Q107" s="13">
        <f t="shared" si="19"/>
        <v>0</v>
      </c>
      <c r="R107" s="11">
        <f t="shared" si="13"/>
        <v>0</v>
      </c>
      <c r="S107" s="13">
        <f t="shared" si="14"/>
        <v>0</v>
      </c>
      <c r="T107" s="13">
        <f t="shared" si="15"/>
        <v>0</v>
      </c>
      <c r="U107" s="13">
        <f t="shared" si="16"/>
        <v>0</v>
      </c>
      <c r="V107" s="13">
        <f t="shared" si="17"/>
        <v>0</v>
      </c>
    </row>
    <row r="108" spans="1:22" ht="60" customHeight="1" x14ac:dyDescent="0.3">
      <c r="A108" s="9"/>
      <c r="B108" s="76" t="str">
        <f t="shared" si="18"/>
        <v>Click here</v>
      </c>
      <c r="C108" s="12"/>
      <c r="D108" s="34"/>
      <c r="E108" s="14"/>
      <c r="F108" s="13"/>
      <c r="G108" s="14"/>
      <c r="H108" s="11"/>
      <c r="I108" s="11"/>
      <c r="J108" s="14"/>
      <c r="K108" s="15"/>
      <c r="L108" s="15"/>
      <c r="M108" s="35"/>
      <c r="N108" s="13"/>
      <c r="O108" s="70"/>
      <c r="P108" s="18"/>
      <c r="Q108" s="13">
        <f t="shared" si="19"/>
        <v>0</v>
      </c>
      <c r="R108" s="11">
        <f t="shared" si="13"/>
        <v>0</v>
      </c>
      <c r="S108" s="13">
        <f t="shared" si="14"/>
        <v>0</v>
      </c>
      <c r="T108" s="13">
        <f t="shared" si="15"/>
        <v>0</v>
      </c>
      <c r="U108" s="13">
        <f t="shared" si="16"/>
        <v>0</v>
      </c>
      <c r="V108" s="13">
        <f t="shared" si="17"/>
        <v>0</v>
      </c>
    </row>
    <row r="109" spans="1:22" ht="60" customHeight="1" x14ac:dyDescent="0.3">
      <c r="A109" s="9"/>
      <c r="B109" s="76" t="str">
        <f t="shared" si="18"/>
        <v>Click here</v>
      </c>
      <c r="C109" s="12"/>
      <c r="D109" s="34"/>
      <c r="E109" s="14"/>
      <c r="F109" s="13"/>
      <c r="G109" s="14"/>
      <c r="H109" s="11"/>
      <c r="I109" s="11"/>
      <c r="J109" s="14"/>
      <c r="K109" s="15"/>
      <c r="L109" s="15"/>
      <c r="M109" s="35"/>
      <c r="N109" s="13"/>
      <c r="O109" s="70"/>
      <c r="P109" s="18"/>
      <c r="Q109" s="13">
        <f t="shared" si="19"/>
        <v>0</v>
      </c>
      <c r="R109" s="11">
        <f t="shared" si="13"/>
        <v>0</v>
      </c>
      <c r="S109" s="13">
        <f t="shared" si="14"/>
        <v>0</v>
      </c>
      <c r="T109" s="13">
        <f t="shared" si="15"/>
        <v>0</v>
      </c>
      <c r="U109" s="13">
        <f t="shared" si="16"/>
        <v>0</v>
      </c>
      <c r="V109" s="13">
        <f t="shared" si="17"/>
        <v>0</v>
      </c>
    </row>
    <row r="110" spans="1:22" ht="60" customHeight="1" x14ac:dyDescent="0.3">
      <c r="A110" s="9"/>
      <c r="B110" s="76" t="str">
        <f t="shared" si="18"/>
        <v>Click here</v>
      </c>
      <c r="C110" s="12"/>
      <c r="D110" s="34"/>
      <c r="E110" s="14"/>
      <c r="F110" s="13"/>
      <c r="G110" s="14"/>
      <c r="H110" s="11"/>
      <c r="I110" s="11"/>
      <c r="J110" s="14"/>
      <c r="K110" s="15"/>
      <c r="L110" s="15"/>
      <c r="M110" s="35"/>
      <c r="N110" s="13"/>
      <c r="O110" s="70"/>
      <c r="P110" s="18"/>
      <c r="Q110" s="13">
        <f t="shared" si="19"/>
        <v>0</v>
      </c>
      <c r="R110" s="11">
        <f t="shared" si="13"/>
        <v>0</v>
      </c>
      <c r="S110" s="13">
        <f t="shared" si="14"/>
        <v>0</v>
      </c>
      <c r="T110" s="13">
        <f t="shared" si="15"/>
        <v>0</v>
      </c>
      <c r="U110" s="13">
        <f t="shared" si="16"/>
        <v>0</v>
      </c>
      <c r="V110" s="13">
        <f t="shared" si="17"/>
        <v>0</v>
      </c>
    </row>
    <row r="111" spans="1:22" ht="60" customHeight="1" x14ac:dyDescent="0.3">
      <c r="A111" s="9"/>
      <c r="B111" s="76" t="str">
        <f t="shared" si="18"/>
        <v>Click here</v>
      </c>
      <c r="C111" s="12"/>
      <c r="D111" s="34"/>
      <c r="E111" s="14"/>
      <c r="F111" s="13"/>
      <c r="G111" s="14"/>
      <c r="H111" s="11"/>
      <c r="I111" s="11"/>
      <c r="J111" s="14"/>
      <c r="K111" s="15"/>
      <c r="L111" s="15"/>
      <c r="M111" s="35"/>
      <c r="N111" s="13"/>
      <c r="O111" s="70"/>
      <c r="P111" s="18"/>
      <c r="Q111" s="13">
        <f t="shared" si="19"/>
        <v>0</v>
      </c>
      <c r="R111" s="11">
        <f t="shared" si="13"/>
        <v>0</v>
      </c>
      <c r="S111" s="13">
        <f t="shared" si="14"/>
        <v>0</v>
      </c>
      <c r="T111" s="13">
        <f t="shared" si="15"/>
        <v>0</v>
      </c>
      <c r="U111" s="13">
        <f t="shared" si="16"/>
        <v>0</v>
      </c>
      <c r="V111" s="13">
        <f t="shared" si="17"/>
        <v>0</v>
      </c>
    </row>
    <row r="112" spans="1:22" ht="60" customHeight="1" x14ac:dyDescent="0.3">
      <c r="A112" s="9"/>
      <c r="B112" s="76" t="str">
        <f t="shared" si="18"/>
        <v>Click here</v>
      </c>
      <c r="C112" s="12"/>
      <c r="D112" s="34"/>
      <c r="E112" s="14"/>
      <c r="F112" s="13"/>
      <c r="G112" s="14"/>
      <c r="H112" s="11"/>
      <c r="I112" s="11"/>
      <c r="J112" s="14"/>
      <c r="K112" s="15"/>
      <c r="L112" s="15"/>
      <c r="M112" s="35"/>
      <c r="N112" s="13"/>
      <c r="O112" s="70"/>
      <c r="P112" s="18"/>
      <c r="Q112" s="13">
        <f t="shared" si="19"/>
        <v>0</v>
      </c>
      <c r="R112" s="11">
        <f t="shared" si="13"/>
        <v>0</v>
      </c>
      <c r="S112" s="13">
        <f t="shared" si="14"/>
        <v>0</v>
      </c>
      <c r="T112" s="13">
        <f t="shared" si="15"/>
        <v>0</v>
      </c>
      <c r="U112" s="13">
        <f t="shared" si="16"/>
        <v>0</v>
      </c>
      <c r="V112" s="13">
        <f t="shared" si="17"/>
        <v>0</v>
      </c>
    </row>
    <row r="113" spans="1:22" ht="60" customHeight="1" x14ac:dyDescent="0.3">
      <c r="A113" s="9"/>
      <c r="B113" s="76" t="str">
        <f t="shared" si="18"/>
        <v>Click here</v>
      </c>
      <c r="C113" s="12"/>
      <c r="D113" s="34"/>
      <c r="E113" s="14"/>
      <c r="F113" s="13"/>
      <c r="G113" s="14"/>
      <c r="H113" s="11"/>
      <c r="I113" s="11"/>
      <c r="J113" s="14"/>
      <c r="K113" s="15"/>
      <c r="L113" s="15"/>
      <c r="M113" s="35"/>
      <c r="N113" s="13"/>
      <c r="O113" s="70"/>
      <c r="P113" s="18"/>
      <c r="Q113" s="13">
        <f t="shared" si="19"/>
        <v>0</v>
      </c>
      <c r="R113" s="11">
        <f t="shared" si="13"/>
        <v>0</v>
      </c>
      <c r="S113" s="13">
        <f t="shared" si="14"/>
        <v>0</v>
      </c>
      <c r="T113" s="13">
        <f t="shared" si="15"/>
        <v>0</v>
      </c>
      <c r="U113" s="13">
        <f t="shared" si="16"/>
        <v>0</v>
      </c>
      <c r="V113" s="13">
        <f t="shared" si="17"/>
        <v>0</v>
      </c>
    </row>
    <row r="114" spans="1:22" ht="60" customHeight="1" x14ac:dyDescent="0.3">
      <c r="A114" s="9"/>
      <c r="B114" s="76" t="str">
        <f t="shared" si="18"/>
        <v>Click here</v>
      </c>
      <c r="C114" s="12"/>
      <c r="D114" s="34"/>
      <c r="E114" s="14"/>
      <c r="F114" s="13"/>
      <c r="G114" s="14"/>
      <c r="H114" s="11"/>
      <c r="I114" s="11"/>
      <c r="J114" s="14"/>
      <c r="K114" s="15"/>
      <c r="L114" s="15"/>
      <c r="M114" s="35"/>
      <c r="N114" s="13"/>
      <c r="O114" s="70"/>
      <c r="P114" s="18"/>
      <c r="Q114" s="13">
        <f t="shared" si="19"/>
        <v>0</v>
      </c>
      <c r="R114" s="11">
        <f t="shared" si="13"/>
        <v>0</v>
      </c>
      <c r="S114" s="13">
        <f t="shared" si="14"/>
        <v>0</v>
      </c>
      <c r="T114" s="13">
        <f t="shared" si="15"/>
        <v>0</v>
      </c>
      <c r="U114" s="13">
        <f t="shared" si="16"/>
        <v>0</v>
      </c>
      <c r="V114" s="13">
        <f t="shared" si="17"/>
        <v>0</v>
      </c>
    </row>
    <row r="115" spans="1:22" ht="60" customHeight="1" x14ac:dyDescent="0.3">
      <c r="A115" s="9"/>
      <c r="B115" s="76" t="str">
        <f t="shared" si="18"/>
        <v>Click here</v>
      </c>
      <c r="C115" s="12"/>
      <c r="D115" s="34"/>
      <c r="E115" s="14"/>
      <c r="F115" s="13"/>
      <c r="G115" s="14"/>
      <c r="H115" s="11"/>
      <c r="I115" s="11"/>
      <c r="J115" s="14"/>
      <c r="K115" s="15"/>
      <c r="L115" s="15"/>
      <c r="M115" s="35"/>
      <c r="N115" s="13"/>
      <c r="O115" s="70"/>
      <c r="P115" s="18"/>
      <c r="Q115" s="13">
        <f t="shared" si="19"/>
        <v>0</v>
      </c>
      <c r="R115" s="11">
        <f t="shared" si="13"/>
        <v>0</v>
      </c>
      <c r="S115" s="13">
        <f t="shared" si="14"/>
        <v>0</v>
      </c>
      <c r="T115" s="13">
        <f t="shared" si="15"/>
        <v>0</v>
      </c>
      <c r="U115" s="13">
        <f t="shared" si="16"/>
        <v>0</v>
      </c>
      <c r="V115" s="13">
        <f t="shared" si="17"/>
        <v>0</v>
      </c>
    </row>
    <row r="116" spans="1:22" ht="60" customHeight="1" x14ac:dyDescent="0.3">
      <c r="A116" s="9"/>
      <c r="B116" s="76" t="str">
        <f t="shared" si="18"/>
        <v>Click here</v>
      </c>
      <c r="C116" s="12"/>
      <c r="D116" s="34"/>
      <c r="E116" s="14"/>
      <c r="F116" s="13"/>
      <c r="G116" s="14"/>
      <c r="H116" s="11"/>
      <c r="I116" s="11"/>
      <c r="J116" s="14"/>
      <c r="K116" s="15"/>
      <c r="L116" s="15"/>
      <c r="M116" s="35"/>
      <c r="N116" s="13"/>
      <c r="O116" s="70"/>
      <c r="P116" s="18"/>
      <c r="Q116" s="13">
        <f t="shared" si="19"/>
        <v>0</v>
      </c>
      <c r="R116" s="11">
        <f t="shared" si="13"/>
        <v>0</v>
      </c>
      <c r="S116" s="13">
        <f t="shared" si="14"/>
        <v>0</v>
      </c>
      <c r="T116" s="13">
        <f t="shared" si="15"/>
        <v>0</v>
      </c>
      <c r="U116" s="13">
        <f t="shared" si="16"/>
        <v>0</v>
      </c>
      <c r="V116" s="13">
        <f t="shared" si="17"/>
        <v>0</v>
      </c>
    </row>
    <row r="117" spans="1:22" ht="60" customHeight="1" x14ac:dyDescent="0.3">
      <c r="A117" s="9"/>
      <c r="B117" s="76" t="str">
        <f t="shared" si="18"/>
        <v>Click here</v>
      </c>
      <c r="C117" s="12"/>
      <c r="D117" s="34"/>
      <c r="E117" s="14"/>
      <c r="F117" s="13"/>
      <c r="G117" s="14"/>
      <c r="H117" s="11"/>
      <c r="I117" s="11"/>
      <c r="J117" s="14"/>
      <c r="K117" s="15"/>
      <c r="L117" s="15"/>
      <c r="M117" s="35"/>
      <c r="N117" s="13"/>
      <c r="O117" s="70"/>
      <c r="P117" s="18"/>
      <c r="Q117" s="13">
        <f t="shared" si="19"/>
        <v>0</v>
      </c>
      <c r="R117" s="11">
        <f t="shared" si="13"/>
        <v>0</v>
      </c>
      <c r="S117" s="13">
        <f t="shared" si="14"/>
        <v>0</v>
      </c>
      <c r="T117" s="13">
        <f t="shared" si="15"/>
        <v>0</v>
      </c>
      <c r="U117" s="13">
        <f t="shared" si="16"/>
        <v>0</v>
      </c>
      <c r="V117" s="13">
        <f t="shared" si="17"/>
        <v>0</v>
      </c>
    </row>
    <row r="118" spans="1:22" ht="60" customHeight="1" x14ac:dyDescent="0.3">
      <c r="A118" s="9"/>
      <c r="B118" s="76" t="str">
        <f t="shared" si="18"/>
        <v>Click here</v>
      </c>
      <c r="C118" s="12"/>
      <c r="D118" s="34"/>
      <c r="E118" s="14"/>
      <c r="F118" s="13"/>
      <c r="G118" s="14"/>
      <c r="H118" s="11"/>
      <c r="I118" s="11"/>
      <c r="J118" s="14"/>
      <c r="K118" s="15"/>
      <c r="L118" s="15"/>
      <c r="M118" s="35"/>
      <c r="N118" s="13"/>
      <c r="O118" s="70"/>
      <c r="P118" s="18"/>
      <c r="Q118" s="13">
        <f t="shared" si="19"/>
        <v>0</v>
      </c>
      <c r="R118" s="11">
        <f t="shared" si="13"/>
        <v>0</v>
      </c>
      <c r="S118" s="13">
        <f t="shared" si="14"/>
        <v>0</v>
      </c>
      <c r="T118" s="13">
        <f t="shared" si="15"/>
        <v>0</v>
      </c>
      <c r="U118" s="13">
        <f t="shared" si="16"/>
        <v>0</v>
      </c>
      <c r="V118" s="13">
        <f t="shared" si="17"/>
        <v>0</v>
      </c>
    </row>
    <row r="119" spans="1:22" ht="60" customHeight="1" x14ac:dyDescent="0.3">
      <c r="A119" s="9"/>
      <c r="B119" s="76" t="str">
        <f t="shared" si="18"/>
        <v>Click here</v>
      </c>
      <c r="C119" s="12"/>
      <c r="D119" s="34"/>
      <c r="E119" s="14"/>
      <c r="F119" s="13"/>
      <c r="G119" s="14"/>
      <c r="H119" s="11"/>
      <c r="I119" s="11"/>
      <c r="J119" s="14"/>
      <c r="K119" s="15"/>
      <c r="L119" s="15"/>
      <c r="M119" s="35"/>
      <c r="N119" s="13"/>
      <c r="O119" s="70"/>
      <c r="P119" s="18"/>
      <c r="Q119" s="13">
        <f t="shared" si="19"/>
        <v>0</v>
      </c>
      <c r="R119" s="11">
        <f t="shared" si="13"/>
        <v>0</v>
      </c>
      <c r="S119" s="13">
        <f t="shared" si="14"/>
        <v>0</v>
      </c>
      <c r="T119" s="13">
        <f t="shared" si="15"/>
        <v>0</v>
      </c>
      <c r="U119" s="13">
        <f t="shared" si="16"/>
        <v>0</v>
      </c>
      <c r="V119" s="13">
        <f t="shared" si="17"/>
        <v>0</v>
      </c>
    </row>
    <row r="120" spans="1:22" ht="60" customHeight="1" x14ac:dyDescent="0.3">
      <c r="A120" s="9"/>
      <c r="B120" s="76" t="str">
        <f t="shared" si="18"/>
        <v>Click here</v>
      </c>
      <c r="C120" s="12"/>
      <c r="D120" s="34"/>
      <c r="E120" s="14"/>
      <c r="F120" s="13"/>
      <c r="G120" s="14"/>
      <c r="H120" s="11"/>
      <c r="I120" s="11"/>
      <c r="J120" s="14"/>
      <c r="K120" s="15"/>
      <c r="L120" s="15"/>
      <c r="M120" s="35"/>
      <c r="N120" s="13"/>
      <c r="O120" s="70"/>
      <c r="P120" s="18"/>
      <c r="Q120" s="13">
        <f t="shared" si="19"/>
        <v>0</v>
      </c>
      <c r="R120" s="11">
        <f t="shared" si="13"/>
        <v>0</v>
      </c>
      <c r="S120" s="13">
        <f t="shared" si="14"/>
        <v>0</v>
      </c>
      <c r="T120" s="13">
        <f t="shared" si="15"/>
        <v>0</v>
      </c>
      <c r="U120" s="13">
        <f t="shared" si="16"/>
        <v>0</v>
      </c>
      <c r="V120" s="13">
        <f t="shared" si="17"/>
        <v>0</v>
      </c>
    </row>
    <row r="121" spans="1:22" ht="60" customHeight="1" x14ac:dyDescent="0.3">
      <c r="A121" s="9"/>
      <c r="B121" s="76" t="str">
        <f t="shared" si="18"/>
        <v>Click here</v>
      </c>
      <c r="C121" s="12"/>
      <c r="D121" s="34"/>
      <c r="E121" s="14"/>
      <c r="F121" s="13"/>
      <c r="G121" s="14"/>
      <c r="H121" s="11"/>
      <c r="I121" s="11"/>
      <c r="J121" s="14"/>
      <c r="K121" s="15"/>
      <c r="L121" s="15"/>
      <c r="M121" s="35"/>
      <c r="N121" s="13"/>
      <c r="O121" s="70"/>
      <c r="P121" s="18"/>
      <c r="Q121" s="13">
        <f t="shared" si="19"/>
        <v>0</v>
      </c>
      <c r="R121" s="11">
        <f t="shared" ref="R121:R184" si="20">I121*Q121</f>
        <v>0</v>
      </c>
      <c r="S121" s="13">
        <f t="shared" ref="S121:S184" si="21">IFERROR(M121*P121, 0)</f>
        <v>0</v>
      </c>
      <c r="T121" s="13">
        <f t="shared" ref="T121:T184" si="22">IF(OR(K121=" 115 x 77 ", K121 = "115 x 77"), P121,0)</f>
        <v>0</v>
      </c>
      <c r="U121" s="13">
        <f t="shared" ref="U121:U184" si="23">IF(OR(K121=" 115 x 108 ", K121 = "115 x 108"), P121,0)</f>
        <v>0</v>
      </c>
      <c r="V121" s="13">
        <f t="shared" ref="V121:V184" si="24">IF(OR(K121=" 115 x 115 ", K121 = "115 x 115"), P121,0)</f>
        <v>0</v>
      </c>
    </row>
    <row r="122" spans="1:22" ht="60" customHeight="1" x14ac:dyDescent="0.3">
      <c r="A122" s="9"/>
      <c r="B122" s="76" t="str">
        <f t="shared" si="18"/>
        <v>Click here</v>
      </c>
      <c r="C122" s="12"/>
      <c r="D122" s="34"/>
      <c r="E122" s="14"/>
      <c r="F122" s="13"/>
      <c r="G122" s="14"/>
      <c r="H122" s="11"/>
      <c r="I122" s="11"/>
      <c r="J122" s="14"/>
      <c r="K122" s="15"/>
      <c r="L122" s="15"/>
      <c r="M122" s="35"/>
      <c r="N122" s="13"/>
      <c r="O122" s="70"/>
      <c r="P122" s="18"/>
      <c r="Q122" s="13">
        <f t="shared" si="19"/>
        <v>0</v>
      </c>
      <c r="R122" s="11">
        <f t="shared" si="20"/>
        <v>0</v>
      </c>
      <c r="S122" s="13">
        <f t="shared" si="21"/>
        <v>0</v>
      </c>
      <c r="T122" s="13">
        <f t="shared" si="22"/>
        <v>0</v>
      </c>
      <c r="U122" s="13">
        <f t="shared" si="23"/>
        <v>0</v>
      </c>
      <c r="V122" s="13">
        <f t="shared" si="24"/>
        <v>0</v>
      </c>
    </row>
    <row r="123" spans="1:22" ht="60" customHeight="1" x14ac:dyDescent="0.3">
      <c r="A123" s="9"/>
      <c r="B123" s="76" t="str">
        <f t="shared" si="18"/>
        <v>Click here</v>
      </c>
      <c r="C123" s="12"/>
      <c r="D123" s="34"/>
      <c r="E123" s="14"/>
      <c r="F123" s="13"/>
      <c r="G123" s="14"/>
      <c r="H123" s="11"/>
      <c r="I123" s="11"/>
      <c r="J123" s="14"/>
      <c r="K123" s="15"/>
      <c r="L123" s="15"/>
      <c r="M123" s="35"/>
      <c r="N123" s="13"/>
      <c r="O123" s="70"/>
      <c r="P123" s="18"/>
      <c r="Q123" s="13">
        <f t="shared" si="19"/>
        <v>0</v>
      </c>
      <c r="R123" s="11">
        <f t="shared" si="20"/>
        <v>0</v>
      </c>
      <c r="S123" s="13">
        <f t="shared" si="21"/>
        <v>0</v>
      </c>
      <c r="T123" s="13">
        <f t="shared" si="22"/>
        <v>0</v>
      </c>
      <c r="U123" s="13">
        <f t="shared" si="23"/>
        <v>0</v>
      </c>
      <c r="V123" s="13">
        <f t="shared" si="24"/>
        <v>0</v>
      </c>
    </row>
    <row r="124" spans="1:22" ht="60" customHeight="1" x14ac:dyDescent="0.3">
      <c r="A124" s="9"/>
      <c r="B124" s="76" t="str">
        <f t="shared" si="18"/>
        <v>Click here</v>
      </c>
      <c r="C124" s="12"/>
      <c r="D124" s="34"/>
      <c r="E124" s="14"/>
      <c r="F124" s="13"/>
      <c r="G124" s="14"/>
      <c r="H124" s="11"/>
      <c r="I124" s="11"/>
      <c r="J124" s="14"/>
      <c r="K124" s="15"/>
      <c r="L124" s="15"/>
      <c r="M124" s="35"/>
      <c r="N124" s="13"/>
      <c r="O124" s="70"/>
      <c r="P124" s="18"/>
      <c r="Q124" s="13">
        <f t="shared" si="19"/>
        <v>0</v>
      </c>
      <c r="R124" s="11">
        <f t="shared" si="20"/>
        <v>0</v>
      </c>
      <c r="S124" s="13">
        <f t="shared" si="21"/>
        <v>0</v>
      </c>
      <c r="T124" s="13">
        <f t="shared" si="22"/>
        <v>0</v>
      </c>
      <c r="U124" s="13">
        <f t="shared" si="23"/>
        <v>0</v>
      </c>
      <c r="V124" s="13">
        <f t="shared" si="24"/>
        <v>0</v>
      </c>
    </row>
    <row r="125" spans="1:22" ht="60" customHeight="1" x14ac:dyDescent="0.3">
      <c r="A125" s="9"/>
      <c r="B125" s="76" t="str">
        <f t="shared" si="18"/>
        <v>Click here</v>
      </c>
      <c r="C125" s="12"/>
      <c r="D125" s="34"/>
      <c r="E125" s="14"/>
      <c r="F125" s="13"/>
      <c r="G125" s="14"/>
      <c r="H125" s="11"/>
      <c r="I125" s="11"/>
      <c r="J125" s="14"/>
      <c r="K125" s="15"/>
      <c r="L125" s="15"/>
      <c r="M125" s="35"/>
      <c r="N125" s="13"/>
      <c r="O125" s="70"/>
      <c r="P125" s="18"/>
      <c r="Q125" s="13">
        <f t="shared" si="19"/>
        <v>0</v>
      </c>
      <c r="R125" s="11">
        <f t="shared" si="20"/>
        <v>0</v>
      </c>
      <c r="S125" s="13">
        <f t="shared" si="21"/>
        <v>0</v>
      </c>
      <c r="T125" s="13">
        <f t="shared" si="22"/>
        <v>0</v>
      </c>
      <c r="U125" s="13">
        <f t="shared" si="23"/>
        <v>0</v>
      </c>
      <c r="V125" s="13">
        <f t="shared" si="24"/>
        <v>0</v>
      </c>
    </row>
    <row r="126" spans="1:22" ht="60" customHeight="1" x14ac:dyDescent="0.3">
      <c r="A126" s="9"/>
      <c r="B126" s="76" t="str">
        <f t="shared" si="18"/>
        <v>Click here</v>
      </c>
      <c r="C126" s="12"/>
      <c r="D126" s="34"/>
      <c r="E126" s="14"/>
      <c r="F126" s="13"/>
      <c r="G126" s="14"/>
      <c r="H126" s="11"/>
      <c r="I126" s="11"/>
      <c r="J126" s="14"/>
      <c r="K126" s="15"/>
      <c r="L126" s="15"/>
      <c r="M126" s="35"/>
      <c r="N126" s="13"/>
      <c r="O126" s="70"/>
      <c r="P126" s="18"/>
      <c r="Q126" s="13">
        <f t="shared" si="19"/>
        <v>0</v>
      </c>
      <c r="R126" s="11">
        <f t="shared" si="20"/>
        <v>0</v>
      </c>
      <c r="S126" s="13">
        <f t="shared" si="21"/>
        <v>0</v>
      </c>
      <c r="T126" s="13">
        <f t="shared" si="22"/>
        <v>0</v>
      </c>
      <c r="U126" s="13">
        <f t="shared" si="23"/>
        <v>0</v>
      </c>
      <c r="V126" s="13">
        <f t="shared" si="24"/>
        <v>0</v>
      </c>
    </row>
    <row r="127" spans="1:22" ht="60" customHeight="1" x14ac:dyDescent="0.3">
      <c r="A127" s="9"/>
      <c r="B127" s="76" t="str">
        <f t="shared" si="18"/>
        <v>Click here</v>
      </c>
      <c r="C127" s="12"/>
      <c r="D127" s="34"/>
      <c r="E127" s="14"/>
      <c r="F127" s="13"/>
      <c r="G127" s="14"/>
      <c r="H127" s="11"/>
      <c r="I127" s="11"/>
      <c r="J127" s="14"/>
      <c r="K127" s="15"/>
      <c r="L127" s="15"/>
      <c r="M127" s="35"/>
      <c r="N127" s="13"/>
      <c r="O127" s="70"/>
      <c r="P127" s="18"/>
      <c r="Q127" s="13">
        <f t="shared" si="19"/>
        <v>0</v>
      </c>
      <c r="R127" s="11">
        <f t="shared" si="20"/>
        <v>0</v>
      </c>
      <c r="S127" s="13">
        <f t="shared" si="21"/>
        <v>0</v>
      </c>
      <c r="T127" s="13">
        <f t="shared" si="22"/>
        <v>0</v>
      </c>
      <c r="U127" s="13">
        <f t="shared" si="23"/>
        <v>0</v>
      </c>
      <c r="V127" s="13">
        <f t="shared" si="24"/>
        <v>0</v>
      </c>
    </row>
    <row r="128" spans="1:22" ht="60" customHeight="1" x14ac:dyDescent="0.3">
      <c r="A128" s="9"/>
      <c r="B128" s="76" t="str">
        <f t="shared" si="18"/>
        <v>Click here</v>
      </c>
      <c r="C128" s="12"/>
      <c r="D128" s="34"/>
      <c r="E128" s="14"/>
      <c r="F128" s="13"/>
      <c r="G128" s="14"/>
      <c r="H128" s="11"/>
      <c r="I128" s="11"/>
      <c r="J128" s="14"/>
      <c r="K128" s="15"/>
      <c r="L128" s="15"/>
      <c r="M128" s="35"/>
      <c r="N128" s="13"/>
      <c r="O128" s="70"/>
      <c r="P128" s="18"/>
      <c r="Q128" s="13">
        <f t="shared" si="19"/>
        <v>0</v>
      </c>
      <c r="R128" s="11">
        <f t="shared" si="20"/>
        <v>0</v>
      </c>
      <c r="S128" s="13">
        <f t="shared" si="21"/>
        <v>0</v>
      </c>
      <c r="T128" s="13">
        <f t="shared" si="22"/>
        <v>0</v>
      </c>
      <c r="U128" s="13">
        <f t="shared" si="23"/>
        <v>0</v>
      </c>
      <c r="V128" s="13">
        <f t="shared" si="24"/>
        <v>0</v>
      </c>
    </row>
    <row r="129" spans="1:22" ht="60" customHeight="1" x14ac:dyDescent="0.3">
      <c r="A129" s="9"/>
      <c r="B129" s="76" t="str">
        <f t="shared" si="18"/>
        <v>Click here</v>
      </c>
      <c r="C129" s="12"/>
      <c r="D129" s="34"/>
      <c r="E129" s="14"/>
      <c r="F129" s="13"/>
      <c r="G129" s="14"/>
      <c r="H129" s="11"/>
      <c r="I129" s="11"/>
      <c r="J129" s="14"/>
      <c r="K129" s="15"/>
      <c r="L129" s="15"/>
      <c r="M129" s="35"/>
      <c r="N129" s="13"/>
      <c r="O129" s="70"/>
      <c r="P129" s="18"/>
      <c r="Q129" s="13">
        <f t="shared" si="19"/>
        <v>0</v>
      </c>
      <c r="R129" s="11">
        <f t="shared" si="20"/>
        <v>0</v>
      </c>
      <c r="S129" s="13">
        <f t="shared" si="21"/>
        <v>0</v>
      </c>
      <c r="T129" s="13">
        <f t="shared" si="22"/>
        <v>0</v>
      </c>
      <c r="U129" s="13">
        <f t="shared" si="23"/>
        <v>0</v>
      </c>
      <c r="V129" s="13">
        <f t="shared" si="24"/>
        <v>0</v>
      </c>
    </row>
    <row r="130" spans="1:22" ht="60" customHeight="1" x14ac:dyDescent="0.3">
      <c r="A130" s="9"/>
      <c r="B130" s="76" t="str">
        <f t="shared" si="18"/>
        <v>Click here</v>
      </c>
      <c r="C130" s="12"/>
      <c r="D130" s="34"/>
      <c r="E130" s="14"/>
      <c r="F130" s="13"/>
      <c r="G130" s="14"/>
      <c r="H130" s="11"/>
      <c r="I130" s="11"/>
      <c r="J130" s="14"/>
      <c r="K130" s="15"/>
      <c r="L130" s="15"/>
      <c r="M130" s="35"/>
      <c r="N130" s="13"/>
      <c r="O130" s="70"/>
      <c r="P130" s="18"/>
      <c r="Q130" s="13">
        <f t="shared" si="19"/>
        <v>0</v>
      </c>
      <c r="R130" s="11">
        <f t="shared" si="20"/>
        <v>0</v>
      </c>
      <c r="S130" s="13">
        <f t="shared" si="21"/>
        <v>0</v>
      </c>
      <c r="T130" s="13">
        <f t="shared" si="22"/>
        <v>0</v>
      </c>
      <c r="U130" s="13">
        <f t="shared" si="23"/>
        <v>0</v>
      </c>
      <c r="V130" s="13">
        <f t="shared" si="24"/>
        <v>0</v>
      </c>
    </row>
    <row r="131" spans="1:22" ht="60" customHeight="1" x14ac:dyDescent="0.3">
      <c r="A131" s="9"/>
      <c r="B131" s="76" t="str">
        <f t="shared" si="18"/>
        <v>Click here</v>
      </c>
      <c r="C131" s="12"/>
      <c r="D131" s="34"/>
      <c r="E131" s="14"/>
      <c r="F131" s="13"/>
      <c r="G131" s="14"/>
      <c r="H131" s="11"/>
      <c r="I131" s="11"/>
      <c r="J131" s="14"/>
      <c r="K131" s="15"/>
      <c r="L131" s="15"/>
      <c r="M131" s="35"/>
      <c r="N131" s="13"/>
      <c r="O131" s="70"/>
      <c r="P131" s="18"/>
      <c r="Q131" s="13">
        <f t="shared" si="19"/>
        <v>0</v>
      </c>
      <c r="R131" s="11">
        <f t="shared" si="20"/>
        <v>0</v>
      </c>
      <c r="S131" s="13">
        <f t="shared" si="21"/>
        <v>0</v>
      </c>
      <c r="T131" s="13">
        <f t="shared" si="22"/>
        <v>0</v>
      </c>
      <c r="U131" s="13">
        <f t="shared" si="23"/>
        <v>0</v>
      </c>
      <c r="V131" s="13">
        <f t="shared" si="24"/>
        <v>0</v>
      </c>
    </row>
    <row r="132" spans="1:22" ht="60" customHeight="1" x14ac:dyDescent="0.3">
      <c r="A132" s="9"/>
      <c r="B132" s="76" t="str">
        <f t="shared" si="18"/>
        <v>Click here</v>
      </c>
      <c r="C132" s="12"/>
      <c r="D132" s="34"/>
      <c r="E132" s="14"/>
      <c r="F132" s="13"/>
      <c r="G132" s="14"/>
      <c r="H132" s="11"/>
      <c r="I132" s="11"/>
      <c r="J132" s="14"/>
      <c r="K132" s="15"/>
      <c r="L132" s="15"/>
      <c r="M132" s="35"/>
      <c r="N132" s="13"/>
      <c r="O132" s="70"/>
      <c r="P132" s="18"/>
      <c r="Q132" s="13">
        <f t="shared" si="19"/>
        <v>0</v>
      </c>
      <c r="R132" s="11">
        <f t="shared" si="20"/>
        <v>0</v>
      </c>
      <c r="S132" s="13">
        <f t="shared" si="21"/>
        <v>0</v>
      </c>
      <c r="T132" s="13">
        <f t="shared" si="22"/>
        <v>0</v>
      </c>
      <c r="U132" s="13">
        <f t="shared" si="23"/>
        <v>0</v>
      </c>
      <c r="V132" s="13">
        <f t="shared" si="24"/>
        <v>0</v>
      </c>
    </row>
    <row r="133" spans="1:22" ht="60" customHeight="1" x14ac:dyDescent="0.3">
      <c r="A133" s="9"/>
      <c r="B133" s="76" t="str">
        <f t="shared" si="18"/>
        <v>Click here</v>
      </c>
      <c r="C133" s="12"/>
      <c r="D133" s="34"/>
      <c r="E133" s="14"/>
      <c r="F133" s="13"/>
      <c r="G133" s="14"/>
      <c r="H133" s="11"/>
      <c r="I133" s="11"/>
      <c r="J133" s="14"/>
      <c r="K133" s="15"/>
      <c r="L133" s="15"/>
      <c r="M133" s="35"/>
      <c r="N133" s="13"/>
      <c r="O133" s="70"/>
      <c r="P133" s="18"/>
      <c r="Q133" s="13">
        <f t="shared" si="19"/>
        <v>0</v>
      </c>
      <c r="R133" s="11">
        <f t="shared" si="20"/>
        <v>0</v>
      </c>
      <c r="S133" s="13">
        <f t="shared" si="21"/>
        <v>0</v>
      </c>
      <c r="T133" s="13">
        <f t="shared" si="22"/>
        <v>0</v>
      </c>
      <c r="U133" s="13">
        <f t="shared" si="23"/>
        <v>0</v>
      </c>
      <c r="V133" s="13">
        <f t="shared" si="24"/>
        <v>0</v>
      </c>
    </row>
    <row r="134" spans="1:22" ht="60" customHeight="1" x14ac:dyDescent="0.3">
      <c r="A134" s="9"/>
      <c r="B134" s="76" t="str">
        <f t="shared" si="18"/>
        <v>Click here</v>
      </c>
      <c r="C134" s="12"/>
      <c r="D134" s="34"/>
      <c r="E134" s="14"/>
      <c r="F134" s="13"/>
      <c r="G134" s="14"/>
      <c r="H134" s="11"/>
      <c r="I134" s="11"/>
      <c r="J134" s="14"/>
      <c r="K134" s="15"/>
      <c r="L134" s="15"/>
      <c r="M134" s="35"/>
      <c r="N134" s="13"/>
      <c r="O134" s="70"/>
      <c r="P134" s="18"/>
      <c r="Q134" s="13">
        <f t="shared" si="19"/>
        <v>0</v>
      </c>
      <c r="R134" s="11">
        <f t="shared" si="20"/>
        <v>0</v>
      </c>
      <c r="S134" s="13">
        <f t="shared" si="21"/>
        <v>0</v>
      </c>
      <c r="T134" s="13">
        <f t="shared" si="22"/>
        <v>0</v>
      </c>
      <c r="U134" s="13">
        <f t="shared" si="23"/>
        <v>0</v>
      </c>
      <c r="V134" s="13">
        <f t="shared" si="24"/>
        <v>0</v>
      </c>
    </row>
    <row r="135" spans="1:22" ht="60" customHeight="1" x14ac:dyDescent="0.3">
      <c r="A135" s="9"/>
      <c r="B135" s="76" t="str">
        <f t="shared" si="18"/>
        <v>Click here</v>
      </c>
      <c r="C135" s="12"/>
      <c r="D135" s="34"/>
      <c r="E135" s="14"/>
      <c r="F135" s="13"/>
      <c r="G135" s="14"/>
      <c r="H135" s="11"/>
      <c r="I135" s="11"/>
      <c r="J135" s="14"/>
      <c r="K135" s="15"/>
      <c r="L135" s="15"/>
      <c r="M135" s="35"/>
      <c r="N135" s="13"/>
      <c r="O135" s="70"/>
      <c r="P135" s="18"/>
      <c r="Q135" s="13">
        <f t="shared" si="19"/>
        <v>0</v>
      </c>
      <c r="R135" s="11">
        <f t="shared" si="20"/>
        <v>0</v>
      </c>
      <c r="S135" s="13">
        <f t="shared" si="21"/>
        <v>0</v>
      </c>
      <c r="T135" s="13">
        <f t="shared" si="22"/>
        <v>0</v>
      </c>
      <c r="U135" s="13">
        <f t="shared" si="23"/>
        <v>0</v>
      </c>
      <c r="V135" s="13">
        <f t="shared" si="24"/>
        <v>0</v>
      </c>
    </row>
    <row r="136" spans="1:22" ht="60" customHeight="1" x14ac:dyDescent="0.3">
      <c r="A136" s="9"/>
      <c r="B136" s="76" t="str">
        <f t="shared" si="18"/>
        <v>Click here</v>
      </c>
      <c r="C136" s="12"/>
      <c r="D136" s="34"/>
      <c r="E136" s="14"/>
      <c r="F136" s="13"/>
      <c r="G136" s="14"/>
      <c r="H136" s="11"/>
      <c r="I136" s="11"/>
      <c r="J136" s="14"/>
      <c r="K136" s="15"/>
      <c r="L136" s="15"/>
      <c r="M136" s="35"/>
      <c r="N136" s="13"/>
      <c r="O136" s="70"/>
      <c r="P136" s="18"/>
      <c r="Q136" s="13">
        <f t="shared" si="19"/>
        <v>0</v>
      </c>
      <c r="R136" s="11">
        <f t="shared" si="20"/>
        <v>0</v>
      </c>
      <c r="S136" s="13">
        <f t="shared" si="21"/>
        <v>0</v>
      </c>
      <c r="T136" s="13">
        <f t="shared" si="22"/>
        <v>0</v>
      </c>
      <c r="U136" s="13">
        <f t="shared" si="23"/>
        <v>0</v>
      </c>
      <c r="V136" s="13">
        <f t="shared" si="24"/>
        <v>0</v>
      </c>
    </row>
    <row r="137" spans="1:22" ht="60" customHeight="1" x14ac:dyDescent="0.3">
      <c r="A137" s="9"/>
      <c r="B137" s="76" t="str">
        <f t="shared" si="18"/>
        <v>Click here</v>
      </c>
      <c r="C137" s="12"/>
      <c r="D137" s="34"/>
      <c r="E137" s="14"/>
      <c r="F137" s="13"/>
      <c r="G137" s="14"/>
      <c r="H137" s="11"/>
      <c r="I137" s="11"/>
      <c r="J137" s="14"/>
      <c r="K137" s="15"/>
      <c r="L137" s="15"/>
      <c r="M137" s="35"/>
      <c r="N137" s="13"/>
      <c r="O137" s="70"/>
      <c r="P137" s="18"/>
      <c r="Q137" s="13">
        <f t="shared" si="19"/>
        <v>0</v>
      </c>
      <c r="R137" s="11">
        <f t="shared" si="20"/>
        <v>0</v>
      </c>
      <c r="S137" s="13">
        <f t="shared" si="21"/>
        <v>0</v>
      </c>
      <c r="T137" s="13">
        <f t="shared" si="22"/>
        <v>0</v>
      </c>
      <c r="U137" s="13">
        <f t="shared" si="23"/>
        <v>0</v>
      </c>
      <c r="V137" s="13">
        <f t="shared" si="24"/>
        <v>0</v>
      </c>
    </row>
    <row r="138" spans="1:22" ht="60" customHeight="1" x14ac:dyDescent="0.3">
      <c r="A138" s="9"/>
      <c r="B138" s="76" t="str">
        <f t="shared" si="18"/>
        <v>Click here</v>
      </c>
      <c r="C138" s="12"/>
      <c r="D138" s="34"/>
      <c r="E138" s="14"/>
      <c r="F138" s="13"/>
      <c r="G138" s="14"/>
      <c r="H138" s="11"/>
      <c r="I138" s="11"/>
      <c r="J138" s="14"/>
      <c r="K138" s="15"/>
      <c r="L138" s="15"/>
      <c r="M138" s="35"/>
      <c r="N138" s="13"/>
      <c r="O138" s="70"/>
      <c r="P138" s="18"/>
      <c r="Q138" s="13">
        <f t="shared" si="19"/>
        <v>0</v>
      </c>
      <c r="R138" s="11">
        <f t="shared" si="20"/>
        <v>0</v>
      </c>
      <c r="S138" s="13">
        <f t="shared" si="21"/>
        <v>0</v>
      </c>
      <c r="T138" s="13">
        <f t="shared" si="22"/>
        <v>0</v>
      </c>
      <c r="U138" s="13">
        <f t="shared" si="23"/>
        <v>0</v>
      </c>
      <c r="V138" s="13">
        <f t="shared" si="24"/>
        <v>0</v>
      </c>
    </row>
    <row r="139" spans="1:22" ht="60" customHeight="1" x14ac:dyDescent="0.3">
      <c r="A139" s="9"/>
      <c r="B139" s="76" t="str">
        <f t="shared" si="18"/>
        <v>Click here</v>
      </c>
      <c r="C139" s="12"/>
      <c r="D139" s="34"/>
      <c r="E139" s="14"/>
      <c r="F139" s="13"/>
      <c r="G139" s="14"/>
      <c r="H139" s="11"/>
      <c r="I139" s="11"/>
      <c r="J139" s="14"/>
      <c r="K139" s="15"/>
      <c r="L139" s="15"/>
      <c r="M139" s="35"/>
      <c r="N139" s="13"/>
      <c r="O139" s="70"/>
      <c r="P139" s="18"/>
      <c r="Q139" s="13">
        <f t="shared" si="19"/>
        <v>0</v>
      </c>
      <c r="R139" s="11">
        <f t="shared" si="20"/>
        <v>0</v>
      </c>
      <c r="S139" s="13">
        <f t="shared" si="21"/>
        <v>0</v>
      </c>
      <c r="T139" s="13">
        <f t="shared" si="22"/>
        <v>0</v>
      </c>
      <c r="U139" s="13">
        <f t="shared" si="23"/>
        <v>0</v>
      </c>
      <c r="V139" s="13">
        <f t="shared" si="24"/>
        <v>0</v>
      </c>
    </row>
    <row r="140" spans="1:22" ht="60" customHeight="1" x14ac:dyDescent="0.3">
      <c r="A140" s="9"/>
      <c r="B140" s="76" t="str">
        <f t="shared" si="18"/>
        <v>Click here</v>
      </c>
      <c r="C140" s="12"/>
      <c r="D140" s="34"/>
      <c r="E140" s="14"/>
      <c r="F140" s="13"/>
      <c r="G140" s="14"/>
      <c r="H140" s="11"/>
      <c r="I140" s="11"/>
      <c r="J140" s="14"/>
      <c r="K140" s="15"/>
      <c r="L140" s="15"/>
      <c r="M140" s="35"/>
      <c r="N140" s="13"/>
      <c r="O140" s="70"/>
      <c r="P140" s="18"/>
      <c r="Q140" s="13">
        <f t="shared" si="19"/>
        <v>0</v>
      </c>
      <c r="R140" s="11">
        <f t="shared" si="20"/>
        <v>0</v>
      </c>
      <c r="S140" s="13">
        <f t="shared" si="21"/>
        <v>0</v>
      </c>
      <c r="T140" s="13">
        <f t="shared" si="22"/>
        <v>0</v>
      </c>
      <c r="U140" s="13">
        <f t="shared" si="23"/>
        <v>0</v>
      </c>
      <c r="V140" s="13">
        <f t="shared" si="24"/>
        <v>0</v>
      </c>
    </row>
    <row r="141" spans="1:22" ht="60" customHeight="1" x14ac:dyDescent="0.3">
      <c r="A141" s="9"/>
      <c r="B141" s="76" t="str">
        <f t="shared" si="18"/>
        <v>Click here</v>
      </c>
      <c r="C141" s="12"/>
      <c r="D141" s="34"/>
      <c r="E141" s="14"/>
      <c r="F141" s="13"/>
      <c r="G141" s="14"/>
      <c r="H141" s="11"/>
      <c r="I141" s="11"/>
      <c r="J141" s="14"/>
      <c r="K141" s="15"/>
      <c r="L141" s="15"/>
      <c r="M141" s="35"/>
      <c r="N141" s="13"/>
      <c r="O141" s="70"/>
      <c r="P141" s="18"/>
      <c r="Q141" s="13">
        <f t="shared" si="19"/>
        <v>0</v>
      </c>
      <c r="R141" s="11">
        <f t="shared" si="20"/>
        <v>0</v>
      </c>
      <c r="S141" s="13">
        <f t="shared" si="21"/>
        <v>0</v>
      </c>
      <c r="T141" s="13">
        <f t="shared" si="22"/>
        <v>0</v>
      </c>
      <c r="U141" s="13">
        <f t="shared" si="23"/>
        <v>0</v>
      </c>
      <c r="V141" s="13">
        <f t="shared" si="24"/>
        <v>0</v>
      </c>
    </row>
    <row r="142" spans="1:22" ht="60" customHeight="1" x14ac:dyDescent="0.3">
      <c r="A142" s="9"/>
      <c r="B142" s="76" t="str">
        <f t="shared" si="18"/>
        <v>Click here</v>
      </c>
      <c r="C142" s="12"/>
      <c r="D142" s="34"/>
      <c r="E142" s="14"/>
      <c r="F142" s="13"/>
      <c r="G142" s="14"/>
      <c r="H142" s="11"/>
      <c r="I142" s="11"/>
      <c r="J142" s="14"/>
      <c r="K142" s="15"/>
      <c r="L142" s="15"/>
      <c r="M142" s="35"/>
      <c r="N142" s="13"/>
      <c r="O142" s="70"/>
      <c r="P142" s="18"/>
      <c r="Q142" s="13">
        <f t="shared" si="19"/>
        <v>0</v>
      </c>
      <c r="R142" s="11">
        <f t="shared" si="20"/>
        <v>0</v>
      </c>
      <c r="S142" s="13">
        <f t="shared" si="21"/>
        <v>0</v>
      </c>
      <c r="T142" s="13">
        <f t="shared" si="22"/>
        <v>0</v>
      </c>
      <c r="U142" s="13">
        <f t="shared" si="23"/>
        <v>0</v>
      </c>
      <c r="V142" s="13">
        <f t="shared" si="24"/>
        <v>0</v>
      </c>
    </row>
    <row r="143" spans="1:22" ht="60" customHeight="1" x14ac:dyDescent="0.3">
      <c r="A143" s="9"/>
      <c r="B143" s="76" t="str">
        <f t="shared" si="18"/>
        <v>Click here</v>
      </c>
      <c r="C143" s="12"/>
      <c r="D143" s="34"/>
      <c r="E143" s="14"/>
      <c r="F143" s="13"/>
      <c r="G143" s="14"/>
      <c r="H143" s="11"/>
      <c r="I143" s="11"/>
      <c r="J143" s="14"/>
      <c r="K143" s="15"/>
      <c r="L143" s="15"/>
      <c r="M143" s="35"/>
      <c r="N143" s="13"/>
      <c r="O143" s="70"/>
      <c r="P143" s="18"/>
      <c r="Q143" s="13">
        <f t="shared" si="19"/>
        <v>0</v>
      </c>
      <c r="R143" s="11">
        <f t="shared" si="20"/>
        <v>0</v>
      </c>
      <c r="S143" s="13">
        <f t="shared" si="21"/>
        <v>0</v>
      </c>
      <c r="T143" s="13">
        <f t="shared" si="22"/>
        <v>0</v>
      </c>
      <c r="U143" s="13">
        <f t="shared" si="23"/>
        <v>0</v>
      </c>
      <c r="V143" s="13">
        <f t="shared" si="24"/>
        <v>0</v>
      </c>
    </row>
    <row r="144" spans="1:22" ht="60" customHeight="1" x14ac:dyDescent="0.3">
      <c r="A144" s="9"/>
      <c r="B144" s="76" t="str">
        <f t="shared" ref="B144:B207" si="25">HYPERLINK(CONCATENATE("https://pim.edelman.nl/products/",D144,"/",D144,"01",".jpg"),"Click here")</f>
        <v>Click here</v>
      </c>
      <c r="C144" s="12"/>
      <c r="D144" s="34"/>
      <c r="E144" s="14"/>
      <c r="F144" s="13"/>
      <c r="G144" s="14"/>
      <c r="H144" s="11"/>
      <c r="I144" s="11"/>
      <c r="J144" s="14"/>
      <c r="K144" s="15"/>
      <c r="L144" s="15"/>
      <c r="M144" s="35"/>
      <c r="N144" s="13"/>
      <c r="O144" s="70"/>
      <c r="P144" s="18"/>
      <c r="Q144" s="13">
        <f t="shared" ref="Q144:Q207" si="26">P144*N144</f>
        <v>0</v>
      </c>
      <c r="R144" s="11">
        <f t="shared" si="20"/>
        <v>0</v>
      </c>
      <c r="S144" s="13">
        <f t="shared" si="21"/>
        <v>0</v>
      </c>
      <c r="T144" s="13">
        <f t="shared" si="22"/>
        <v>0</v>
      </c>
      <c r="U144" s="13">
        <f t="shared" si="23"/>
        <v>0</v>
      </c>
      <c r="V144" s="13">
        <f t="shared" si="24"/>
        <v>0</v>
      </c>
    </row>
    <row r="145" spans="1:22" ht="60" customHeight="1" x14ac:dyDescent="0.3">
      <c r="A145" s="9"/>
      <c r="B145" s="76" t="str">
        <f t="shared" si="25"/>
        <v>Click here</v>
      </c>
      <c r="C145" s="12"/>
      <c r="D145" s="34"/>
      <c r="E145" s="14"/>
      <c r="F145" s="13"/>
      <c r="G145" s="14"/>
      <c r="H145" s="11"/>
      <c r="I145" s="11"/>
      <c r="J145" s="14"/>
      <c r="K145" s="15"/>
      <c r="L145" s="15"/>
      <c r="M145" s="35"/>
      <c r="N145" s="13"/>
      <c r="O145" s="70"/>
      <c r="P145" s="18"/>
      <c r="Q145" s="13">
        <f t="shared" si="26"/>
        <v>0</v>
      </c>
      <c r="R145" s="11">
        <f t="shared" si="20"/>
        <v>0</v>
      </c>
      <c r="S145" s="13">
        <f t="shared" si="21"/>
        <v>0</v>
      </c>
      <c r="T145" s="13">
        <f t="shared" si="22"/>
        <v>0</v>
      </c>
      <c r="U145" s="13">
        <f t="shared" si="23"/>
        <v>0</v>
      </c>
      <c r="V145" s="13">
        <f t="shared" si="24"/>
        <v>0</v>
      </c>
    </row>
    <row r="146" spans="1:22" ht="60" customHeight="1" x14ac:dyDescent="0.3">
      <c r="A146" s="9"/>
      <c r="B146" s="76" t="str">
        <f t="shared" si="25"/>
        <v>Click here</v>
      </c>
      <c r="C146" s="12"/>
      <c r="D146" s="34"/>
      <c r="E146" s="14"/>
      <c r="F146" s="13"/>
      <c r="G146" s="14"/>
      <c r="H146" s="11"/>
      <c r="I146" s="11"/>
      <c r="J146" s="14"/>
      <c r="K146" s="15"/>
      <c r="L146" s="15"/>
      <c r="M146" s="35"/>
      <c r="N146" s="13"/>
      <c r="O146" s="70"/>
      <c r="P146" s="18"/>
      <c r="Q146" s="13">
        <f t="shared" si="26"/>
        <v>0</v>
      </c>
      <c r="R146" s="11">
        <f t="shared" si="20"/>
        <v>0</v>
      </c>
      <c r="S146" s="13">
        <f t="shared" si="21"/>
        <v>0</v>
      </c>
      <c r="T146" s="13">
        <f t="shared" si="22"/>
        <v>0</v>
      </c>
      <c r="U146" s="13">
        <f t="shared" si="23"/>
        <v>0</v>
      </c>
      <c r="V146" s="13">
        <f t="shared" si="24"/>
        <v>0</v>
      </c>
    </row>
    <row r="147" spans="1:22" ht="60" customHeight="1" x14ac:dyDescent="0.3">
      <c r="A147" s="9"/>
      <c r="B147" s="76" t="str">
        <f t="shared" si="25"/>
        <v>Click here</v>
      </c>
      <c r="C147" s="12"/>
      <c r="D147" s="34"/>
      <c r="E147" s="14"/>
      <c r="F147" s="13"/>
      <c r="G147" s="14"/>
      <c r="H147" s="11"/>
      <c r="I147" s="11"/>
      <c r="J147" s="14"/>
      <c r="K147" s="15"/>
      <c r="L147" s="15"/>
      <c r="M147" s="35"/>
      <c r="N147" s="13"/>
      <c r="O147" s="70"/>
      <c r="P147" s="18"/>
      <c r="Q147" s="13">
        <f t="shared" si="26"/>
        <v>0</v>
      </c>
      <c r="R147" s="11">
        <f t="shared" si="20"/>
        <v>0</v>
      </c>
      <c r="S147" s="13">
        <f t="shared" si="21"/>
        <v>0</v>
      </c>
      <c r="T147" s="13">
        <f t="shared" si="22"/>
        <v>0</v>
      </c>
      <c r="U147" s="13">
        <f t="shared" si="23"/>
        <v>0</v>
      </c>
      <c r="V147" s="13">
        <f t="shared" si="24"/>
        <v>0</v>
      </c>
    </row>
    <row r="148" spans="1:22" ht="60" customHeight="1" x14ac:dyDescent="0.3">
      <c r="A148" s="9"/>
      <c r="B148" s="76" t="str">
        <f t="shared" si="25"/>
        <v>Click here</v>
      </c>
      <c r="C148" s="12"/>
      <c r="D148" s="34"/>
      <c r="E148" s="14"/>
      <c r="F148" s="13"/>
      <c r="G148" s="14"/>
      <c r="H148" s="11"/>
      <c r="I148" s="11"/>
      <c r="J148" s="14"/>
      <c r="K148" s="15"/>
      <c r="L148" s="15"/>
      <c r="M148" s="35"/>
      <c r="N148" s="13"/>
      <c r="O148" s="70"/>
      <c r="P148" s="18"/>
      <c r="Q148" s="13">
        <f t="shared" si="26"/>
        <v>0</v>
      </c>
      <c r="R148" s="11">
        <f t="shared" si="20"/>
        <v>0</v>
      </c>
      <c r="S148" s="13">
        <f t="shared" si="21"/>
        <v>0</v>
      </c>
      <c r="T148" s="13">
        <f t="shared" si="22"/>
        <v>0</v>
      </c>
      <c r="U148" s="13">
        <f t="shared" si="23"/>
        <v>0</v>
      </c>
      <c r="V148" s="13">
        <f t="shared" si="24"/>
        <v>0</v>
      </c>
    </row>
    <row r="149" spans="1:22" ht="60" customHeight="1" x14ac:dyDescent="0.3">
      <c r="A149" s="9"/>
      <c r="B149" s="76" t="str">
        <f t="shared" si="25"/>
        <v>Click here</v>
      </c>
      <c r="C149" s="12"/>
      <c r="D149" s="34"/>
      <c r="E149" s="14"/>
      <c r="F149" s="13"/>
      <c r="G149" s="14"/>
      <c r="H149" s="11"/>
      <c r="I149" s="11"/>
      <c r="J149" s="14"/>
      <c r="K149" s="15"/>
      <c r="L149" s="15"/>
      <c r="M149" s="35"/>
      <c r="N149" s="13"/>
      <c r="O149" s="70"/>
      <c r="P149" s="18"/>
      <c r="Q149" s="13">
        <f t="shared" si="26"/>
        <v>0</v>
      </c>
      <c r="R149" s="11">
        <f t="shared" si="20"/>
        <v>0</v>
      </c>
      <c r="S149" s="13">
        <f t="shared" si="21"/>
        <v>0</v>
      </c>
      <c r="T149" s="13">
        <f t="shared" si="22"/>
        <v>0</v>
      </c>
      <c r="U149" s="13">
        <f t="shared" si="23"/>
        <v>0</v>
      </c>
      <c r="V149" s="13">
        <f t="shared" si="24"/>
        <v>0</v>
      </c>
    </row>
    <row r="150" spans="1:22" ht="60" customHeight="1" x14ac:dyDescent="0.3">
      <c r="A150" s="9"/>
      <c r="B150" s="76" t="str">
        <f t="shared" si="25"/>
        <v>Click here</v>
      </c>
      <c r="C150" s="12"/>
      <c r="D150" s="34"/>
      <c r="E150" s="14"/>
      <c r="F150" s="13"/>
      <c r="G150" s="14"/>
      <c r="H150" s="11"/>
      <c r="I150" s="11"/>
      <c r="J150" s="14"/>
      <c r="K150" s="15"/>
      <c r="L150" s="15"/>
      <c r="M150" s="35"/>
      <c r="N150" s="13"/>
      <c r="O150" s="70"/>
      <c r="P150" s="18"/>
      <c r="Q150" s="13">
        <f t="shared" si="26"/>
        <v>0</v>
      </c>
      <c r="R150" s="11">
        <f t="shared" si="20"/>
        <v>0</v>
      </c>
      <c r="S150" s="13">
        <f t="shared" si="21"/>
        <v>0</v>
      </c>
      <c r="T150" s="13">
        <f t="shared" si="22"/>
        <v>0</v>
      </c>
      <c r="U150" s="13">
        <f t="shared" si="23"/>
        <v>0</v>
      </c>
      <c r="V150" s="13">
        <f t="shared" si="24"/>
        <v>0</v>
      </c>
    </row>
    <row r="151" spans="1:22" ht="60" customHeight="1" x14ac:dyDescent="0.3">
      <c r="A151" s="9"/>
      <c r="B151" s="76" t="str">
        <f t="shared" si="25"/>
        <v>Click here</v>
      </c>
      <c r="C151" s="12"/>
      <c r="D151" s="34"/>
      <c r="E151" s="14"/>
      <c r="F151" s="13"/>
      <c r="G151" s="14"/>
      <c r="H151" s="11"/>
      <c r="I151" s="11"/>
      <c r="J151" s="14"/>
      <c r="K151" s="15"/>
      <c r="L151" s="15"/>
      <c r="M151" s="35"/>
      <c r="N151" s="13"/>
      <c r="O151" s="70"/>
      <c r="P151" s="18"/>
      <c r="Q151" s="13">
        <f t="shared" si="26"/>
        <v>0</v>
      </c>
      <c r="R151" s="11">
        <f t="shared" si="20"/>
        <v>0</v>
      </c>
      <c r="S151" s="13">
        <f t="shared" si="21"/>
        <v>0</v>
      </c>
      <c r="T151" s="13">
        <f t="shared" si="22"/>
        <v>0</v>
      </c>
      <c r="U151" s="13">
        <f t="shared" si="23"/>
        <v>0</v>
      </c>
      <c r="V151" s="13">
        <f t="shared" si="24"/>
        <v>0</v>
      </c>
    </row>
    <row r="152" spans="1:22" ht="60" customHeight="1" x14ac:dyDescent="0.3">
      <c r="A152" s="9"/>
      <c r="B152" s="76" t="str">
        <f t="shared" si="25"/>
        <v>Click here</v>
      </c>
      <c r="C152" s="12"/>
      <c r="D152" s="34"/>
      <c r="E152" s="14"/>
      <c r="F152" s="13"/>
      <c r="G152" s="14"/>
      <c r="H152" s="11"/>
      <c r="I152" s="11"/>
      <c r="J152" s="14"/>
      <c r="K152" s="15"/>
      <c r="L152" s="15"/>
      <c r="M152" s="35"/>
      <c r="N152" s="13"/>
      <c r="O152" s="70"/>
      <c r="P152" s="18"/>
      <c r="Q152" s="13">
        <f t="shared" si="26"/>
        <v>0</v>
      </c>
      <c r="R152" s="11">
        <f t="shared" si="20"/>
        <v>0</v>
      </c>
      <c r="S152" s="13">
        <f t="shared" si="21"/>
        <v>0</v>
      </c>
      <c r="T152" s="13">
        <f t="shared" si="22"/>
        <v>0</v>
      </c>
      <c r="U152" s="13">
        <f t="shared" si="23"/>
        <v>0</v>
      </c>
      <c r="V152" s="13">
        <f t="shared" si="24"/>
        <v>0</v>
      </c>
    </row>
    <row r="153" spans="1:22" ht="60" customHeight="1" x14ac:dyDescent="0.3">
      <c r="A153" s="9"/>
      <c r="B153" s="76" t="str">
        <f t="shared" si="25"/>
        <v>Click here</v>
      </c>
      <c r="C153" s="12"/>
      <c r="D153" s="34"/>
      <c r="E153" s="14"/>
      <c r="F153" s="13"/>
      <c r="G153" s="14"/>
      <c r="H153" s="11"/>
      <c r="I153" s="11"/>
      <c r="J153" s="14"/>
      <c r="K153" s="15"/>
      <c r="L153" s="15"/>
      <c r="M153" s="35"/>
      <c r="N153" s="13"/>
      <c r="O153" s="70"/>
      <c r="P153" s="18"/>
      <c r="Q153" s="13">
        <f t="shared" si="26"/>
        <v>0</v>
      </c>
      <c r="R153" s="11">
        <f t="shared" si="20"/>
        <v>0</v>
      </c>
      <c r="S153" s="13">
        <f t="shared" si="21"/>
        <v>0</v>
      </c>
      <c r="T153" s="13">
        <f t="shared" si="22"/>
        <v>0</v>
      </c>
      <c r="U153" s="13">
        <f t="shared" si="23"/>
        <v>0</v>
      </c>
      <c r="V153" s="13">
        <f t="shared" si="24"/>
        <v>0</v>
      </c>
    </row>
    <row r="154" spans="1:22" ht="60" customHeight="1" x14ac:dyDescent="0.3">
      <c r="A154" s="9"/>
      <c r="B154" s="76" t="str">
        <f t="shared" si="25"/>
        <v>Click here</v>
      </c>
      <c r="C154" s="12"/>
      <c r="D154" s="34"/>
      <c r="E154" s="14"/>
      <c r="F154" s="13"/>
      <c r="G154" s="14"/>
      <c r="H154" s="11"/>
      <c r="I154" s="11"/>
      <c r="J154" s="14"/>
      <c r="K154" s="15"/>
      <c r="L154" s="15"/>
      <c r="M154" s="35"/>
      <c r="N154" s="13"/>
      <c r="O154" s="70"/>
      <c r="P154" s="18"/>
      <c r="Q154" s="13">
        <f t="shared" si="26"/>
        <v>0</v>
      </c>
      <c r="R154" s="11">
        <f t="shared" si="20"/>
        <v>0</v>
      </c>
      <c r="S154" s="13">
        <f t="shared" si="21"/>
        <v>0</v>
      </c>
      <c r="T154" s="13">
        <f t="shared" si="22"/>
        <v>0</v>
      </c>
      <c r="U154" s="13">
        <f t="shared" si="23"/>
        <v>0</v>
      </c>
      <c r="V154" s="13">
        <f t="shared" si="24"/>
        <v>0</v>
      </c>
    </row>
    <row r="155" spans="1:22" ht="60" customHeight="1" x14ac:dyDescent="0.3">
      <c r="A155" s="9"/>
      <c r="B155" s="76" t="str">
        <f t="shared" si="25"/>
        <v>Click here</v>
      </c>
      <c r="C155" s="12"/>
      <c r="D155" s="34"/>
      <c r="E155" s="14"/>
      <c r="F155" s="13"/>
      <c r="G155" s="14"/>
      <c r="H155" s="11"/>
      <c r="I155" s="11"/>
      <c r="J155" s="14"/>
      <c r="K155" s="15"/>
      <c r="L155" s="15"/>
      <c r="M155" s="35"/>
      <c r="N155" s="13"/>
      <c r="O155" s="70"/>
      <c r="P155" s="18"/>
      <c r="Q155" s="13">
        <f t="shared" si="26"/>
        <v>0</v>
      </c>
      <c r="R155" s="11">
        <f t="shared" si="20"/>
        <v>0</v>
      </c>
      <c r="S155" s="13">
        <f t="shared" si="21"/>
        <v>0</v>
      </c>
      <c r="T155" s="13">
        <f t="shared" si="22"/>
        <v>0</v>
      </c>
      <c r="U155" s="13">
        <f t="shared" si="23"/>
        <v>0</v>
      </c>
      <c r="V155" s="13">
        <f t="shared" si="24"/>
        <v>0</v>
      </c>
    </row>
    <row r="156" spans="1:22" ht="60" customHeight="1" x14ac:dyDescent="0.3">
      <c r="A156" s="9"/>
      <c r="B156" s="76" t="str">
        <f t="shared" si="25"/>
        <v>Click here</v>
      </c>
      <c r="C156" s="12"/>
      <c r="D156" s="34"/>
      <c r="E156" s="14"/>
      <c r="F156" s="13"/>
      <c r="G156" s="14"/>
      <c r="H156" s="11"/>
      <c r="I156" s="11"/>
      <c r="J156" s="14"/>
      <c r="K156" s="15"/>
      <c r="L156" s="15"/>
      <c r="M156" s="35"/>
      <c r="N156" s="13"/>
      <c r="O156" s="70"/>
      <c r="P156" s="18"/>
      <c r="Q156" s="13">
        <f t="shared" si="26"/>
        <v>0</v>
      </c>
      <c r="R156" s="11">
        <f t="shared" si="20"/>
        <v>0</v>
      </c>
      <c r="S156" s="13">
        <f t="shared" si="21"/>
        <v>0</v>
      </c>
      <c r="T156" s="13">
        <f t="shared" si="22"/>
        <v>0</v>
      </c>
      <c r="U156" s="13">
        <f t="shared" si="23"/>
        <v>0</v>
      </c>
      <c r="V156" s="13">
        <f t="shared" si="24"/>
        <v>0</v>
      </c>
    </row>
    <row r="157" spans="1:22" ht="60" customHeight="1" x14ac:dyDescent="0.3">
      <c r="A157" s="9"/>
      <c r="B157" s="76" t="str">
        <f t="shared" si="25"/>
        <v>Click here</v>
      </c>
      <c r="C157" s="12"/>
      <c r="D157" s="34"/>
      <c r="E157" s="14"/>
      <c r="F157" s="13"/>
      <c r="G157" s="14"/>
      <c r="H157" s="11"/>
      <c r="I157" s="11"/>
      <c r="J157" s="14"/>
      <c r="K157" s="15"/>
      <c r="L157" s="15"/>
      <c r="M157" s="35"/>
      <c r="N157" s="13"/>
      <c r="O157" s="70"/>
      <c r="P157" s="18"/>
      <c r="Q157" s="13">
        <f t="shared" si="26"/>
        <v>0</v>
      </c>
      <c r="R157" s="11">
        <f t="shared" si="20"/>
        <v>0</v>
      </c>
      <c r="S157" s="13">
        <f t="shared" si="21"/>
        <v>0</v>
      </c>
      <c r="T157" s="13">
        <f t="shared" si="22"/>
        <v>0</v>
      </c>
      <c r="U157" s="13">
        <f t="shared" si="23"/>
        <v>0</v>
      </c>
      <c r="V157" s="13">
        <f t="shared" si="24"/>
        <v>0</v>
      </c>
    </row>
    <row r="158" spans="1:22" ht="60" customHeight="1" x14ac:dyDescent="0.3">
      <c r="A158" s="9"/>
      <c r="B158" s="76" t="str">
        <f t="shared" si="25"/>
        <v>Click here</v>
      </c>
      <c r="C158" s="12"/>
      <c r="D158" s="34"/>
      <c r="E158" s="14"/>
      <c r="F158" s="13"/>
      <c r="G158" s="14"/>
      <c r="H158" s="11"/>
      <c r="I158" s="11"/>
      <c r="J158" s="14"/>
      <c r="K158" s="15"/>
      <c r="L158" s="15"/>
      <c r="M158" s="35"/>
      <c r="N158" s="13"/>
      <c r="O158" s="70"/>
      <c r="P158" s="18"/>
      <c r="Q158" s="13">
        <f t="shared" si="26"/>
        <v>0</v>
      </c>
      <c r="R158" s="11">
        <f t="shared" si="20"/>
        <v>0</v>
      </c>
      <c r="S158" s="13">
        <f t="shared" si="21"/>
        <v>0</v>
      </c>
      <c r="T158" s="13">
        <f t="shared" si="22"/>
        <v>0</v>
      </c>
      <c r="U158" s="13">
        <f t="shared" si="23"/>
        <v>0</v>
      </c>
      <c r="V158" s="13">
        <f t="shared" si="24"/>
        <v>0</v>
      </c>
    </row>
    <row r="159" spans="1:22" ht="60" customHeight="1" x14ac:dyDescent="0.3">
      <c r="A159" s="9"/>
      <c r="B159" s="76" t="str">
        <f t="shared" si="25"/>
        <v>Click here</v>
      </c>
      <c r="C159" s="12"/>
      <c r="D159" s="34"/>
      <c r="E159" s="14"/>
      <c r="F159" s="13"/>
      <c r="G159" s="14"/>
      <c r="H159" s="11"/>
      <c r="I159" s="11"/>
      <c r="J159" s="14"/>
      <c r="K159" s="15"/>
      <c r="L159" s="15"/>
      <c r="M159" s="35"/>
      <c r="N159" s="13"/>
      <c r="O159" s="70"/>
      <c r="P159" s="18"/>
      <c r="Q159" s="13">
        <f t="shared" si="26"/>
        <v>0</v>
      </c>
      <c r="R159" s="11">
        <f t="shared" si="20"/>
        <v>0</v>
      </c>
      <c r="S159" s="13">
        <f t="shared" si="21"/>
        <v>0</v>
      </c>
      <c r="T159" s="13">
        <f t="shared" si="22"/>
        <v>0</v>
      </c>
      <c r="U159" s="13">
        <f t="shared" si="23"/>
        <v>0</v>
      </c>
      <c r="V159" s="13">
        <f t="shared" si="24"/>
        <v>0</v>
      </c>
    </row>
    <row r="160" spans="1:22" ht="60" customHeight="1" x14ac:dyDescent="0.3">
      <c r="A160" s="9"/>
      <c r="B160" s="76" t="str">
        <f t="shared" si="25"/>
        <v>Click here</v>
      </c>
      <c r="C160" s="12"/>
      <c r="D160" s="34"/>
      <c r="E160" s="14"/>
      <c r="F160" s="13"/>
      <c r="G160" s="14"/>
      <c r="H160" s="11"/>
      <c r="I160" s="11"/>
      <c r="J160" s="14"/>
      <c r="K160" s="15"/>
      <c r="L160" s="15"/>
      <c r="M160" s="35"/>
      <c r="N160" s="13"/>
      <c r="O160" s="70"/>
      <c r="P160" s="18"/>
      <c r="Q160" s="13">
        <f t="shared" si="26"/>
        <v>0</v>
      </c>
      <c r="R160" s="11">
        <f t="shared" si="20"/>
        <v>0</v>
      </c>
      <c r="S160" s="13">
        <f t="shared" si="21"/>
        <v>0</v>
      </c>
      <c r="T160" s="13">
        <f t="shared" si="22"/>
        <v>0</v>
      </c>
      <c r="U160" s="13">
        <f t="shared" si="23"/>
        <v>0</v>
      </c>
      <c r="V160" s="13">
        <f t="shared" si="24"/>
        <v>0</v>
      </c>
    </row>
    <row r="161" spans="1:22" ht="60" customHeight="1" x14ac:dyDescent="0.3">
      <c r="A161" s="9"/>
      <c r="B161" s="76" t="str">
        <f t="shared" si="25"/>
        <v>Click here</v>
      </c>
      <c r="C161" s="12"/>
      <c r="D161" s="34"/>
      <c r="E161" s="14"/>
      <c r="F161" s="13"/>
      <c r="G161" s="14"/>
      <c r="H161" s="11"/>
      <c r="I161" s="11"/>
      <c r="J161" s="14"/>
      <c r="K161" s="15"/>
      <c r="L161" s="15"/>
      <c r="M161" s="35"/>
      <c r="N161" s="13"/>
      <c r="O161" s="70"/>
      <c r="P161" s="18"/>
      <c r="Q161" s="13">
        <f t="shared" si="26"/>
        <v>0</v>
      </c>
      <c r="R161" s="11">
        <f t="shared" si="20"/>
        <v>0</v>
      </c>
      <c r="S161" s="13">
        <f t="shared" si="21"/>
        <v>0</v>
      </c>
      <c r="T161" s="13">
        <f t="shared" si="22"/>
        <v>0</v>
      </c>
      <c r="U161" s="13">
        <f t="shared" si="23"/>
        <v>0</v>
      </c>
      <c r="V161" s="13">
        <f t="shared" si="24"/>
        <v>0</v>
      </c>
    </row>
    <row r="162" spans="1:22" ht="60" customHeight="1" x14ac:dyDescent="0.3">
      <c r="A162" s="9"/>
      <c r="B162" s="76" t="str">
        <f t="shared" si="25"/>
        <v>Click here</v>
      </c>
      <c r="C162" s="12"/>
      <c r="D162" s="34"/>
      <c r="E162" s="14"/>
      <c r="F162" s="13"/>
      <c r="G162" s="14"/>
      <c r="H162" s="11"/>
      <c r="I162" s="11"/>
      <c r="J162" s="14"/>
      <c r="K162" s="15"/>
      <c r="L162" s="15"/>
      <c r="M162" s="35"/>
      <c r="N162" s="13"/>
      <c r="O162" s="70"/>
      <c r="P162" s="18"/>
      <c r="Q162" s="13">
        <f t="shared" si="26"/>
        <v>0</v>
      </c>
      <c r="R162" s="11">
        <f t="shared" si="20"/>
        <v>0</v>
      </c>
      <c r="S162" s="13">
        <f t="shared" si="21"/>
        <v>0</v>
      </c>
      <c r="T162" s="13">
        <f t="shared" si="22"/>
        <v>0</v>
      </c>
      <c r="U162" s="13">
        <f t="shared" si="23"/>
        <v>0</v>
      </c>
      <c r="V162" s="13">
        <f t="shared" si="24"/>
        <v>0</v>
      </c>
    </row>
    <row r="163" spans="1:22" ht="60" customHeight="1" x14ac:dyDescent="0.3">
      <c r="A163" s="9"/>
      <c r="B163" s="76" t="str">
        <f t="shared" si="25"/>
        <v>Click here</v>
      </c>
      <c r="C163" s="12"/>
      <c r="D163" s="34"/>
      <c r="E163" s="14"/>
      <c r="F163" s="13"/>
      <c r="G163" s="14"/>
      <c r="H163" s="11"/>
      <c r="I163" s="11"/>
      <c r="J163" s="14"/>
      <c r="K163" s="15"/>
      <c r="L163" s="15"/>
      <c r="M163" s="35"/>
      <c r="N163" s="13"/>
      <c r="O163" s="70"/>
      <c r="P163" s="18"/>
      <c r="Q163" s="13">
        <f t="shared" si="26"/>
        <v>0</v>
      </c>
      <c r="R163" s="11">
        <f t="shared" si="20"/>
        <v>0</v>
      </c>
      <c r="S163" s="13">
        <f t="shared" si="21"/>
        <v>0</v>
      </c>
      <c r="T163" s="13">
        <f t="shared" si="22"/>
        <v>0</v>
      </c>
      <c r="U163" s="13">
        <f t="shared" si="23"/>
        <v>0</v>
      </c>
      <c r="V163" s="13">
        <f t="shared" si="24"/>
        <v>0</v>
      </c>
    </row>
    <row r="164" spans="1:22" ht="60" customHeight="1" x14ac:dyDescent="0.3">
      <c r="A164" s="9"/>
      <c r="B164" s="76" t="str">
        <f t="shared" si="25"/>
        <v>Click here</v>
      </c>
      <c r="C164" s="12"/>
      <c r="D164" s="34"/>
      <c r="E164" s="14"/>
      <c r="F164" s="13"/>
      <c r="G164" s="14"/>
      <c r="H164" s="11"/>
      <c r="I164" s="11"/>
      <c r="J164" s="14"/>
      <c r="K164" s="15"/>
      <c r="L164" s="15"/>
      <c r="M164" s="35"/>
      <c r="N164" s="13"/>
      <c r="O164" s="70"/>
      <c r="P164" s="18"/>
      <c r="Q164" s="13">
        <f t="shared" si="26"/>
        <v>0</v>
      </c>
      <c r="R164" s="11">
        <f t="shared" si="20"/>
        <v>0</v>
      </c>
      <c r="S164" s="13">
        <f t="shared" si="21"/>
        <v>0</v>
      </c>
      <c r="T164" s="13">
        <f t="shared" si="22"/>
        <v>0</v>
      </c>
      <c r="U164" s="13">
        <f t="shared" si="23"/>
        <v>0</v>
      </c>
      <c r="V164" s="13">
        <f t="shared" si="24"/>
        <v>0</v>
      </c>
    </row>
    <row r="165" spans="1:22" ht="60" customHeight="1" x14ac:dyDescent="0.3">
      <c r="A165" s="9"/>
      <c r="B165" s="76" t="str">
        <f t="shared" si="25"/>
        <v>Click here</v>
      </c>
      <c r="C165" s="12"/>
      <c r="D165" s="34"/>
      <c r="E165" s="14"/>
      <c r="F165" s="13"/>
      <c r="G165" s="14"/>
      <c r="H165" s="11"/>
      <c r="I165" s="11"/>
      <c r="J165" s="14"/>
      <c r="K165" s="15"/>
      <c r="L165" s="15"/>
      <c r="M165" s="35"/>
      <c r="N165" s="13"/>
      <c r="O165" s="70"/>
      <c r="P165" s="18"/>
      <c r="Q165" s="13">
        <f t="shared" si="26"/>
        <v>0</v>
      </c>
      <c r="R165" s="11">
        <f t="shared" si="20"/>
        <v>0</v>
      </c>
      <c r="S165" s="13">
        <f t="shared" si="21"/>
        <v>0</v>
      </c>
      <c r="T165" s="13">
        <f t="shared" si="22"/>
        <v>0</v>
      </c>
      <c r="U165" s="13">
        <f t="shared" si="23"/>
        <v>0</v>
      </c>
      <c r="V165" s="13">
        <f t="shared" si="24"/>
        <v>0</v>
      </c>
    </row>
    <row r="166" spans="1:22" ht="60" customHeight="1" x14ac:dyDescent="0.3">
      <c r="A166" s="9"/>
      <c r="B166" s="76" t="str">
        <f t="shared" si="25"/>
        <v>Click here</v>
      </c>
      <c r="C166" s="12"/>
      <c r="D166" s="34"/>
      <c r="E166" s="14"/>
      <c r="F166" s="13"/>
      <c r="G166" s="14"/>
      <c r="H166" s="11"/>
      <c r="I166" s="11"/>
      <c r="J166" s="14"/>
      <c r="K166" s="15"/>
      <c r="L166" s="15"/>
      <c r="M166" s="35"/>
      <c r="N166" s="13"/>
      <c r="O166" s="70"/>
      <c r="P166" s="18"/>
      <c r="Q166" s="13">
        <f t="shared" si="26"/>
        <v>0</v>
      </c>
      <c r="R166" s="11">
        <f t="shared" si="20"/>
        <v>0</v>
      </c>
      <c r="S166" s="13">
        <f t="shared" si="21"/>
        <v>0</v>
      </c>
      <c r="T166" s="13">
        <f t="shared" si="22"/>
        <v>0</v>
      </c>
      <c r="U166" s="13">
        <f t="shared" si="23"/>
        <v>0</v>
      </c>
      <c r="V166" s="13">
        <f t="shared" si="24"/>
        <v>0</v>
      </c>
    </row>
    <row r="167" spans="1:22" ht="60" customHeight="1" x14ac:dyDescent="0.3">
      <c r="A167" s="9"/>
      <c r="B167" s="76" t="str">
        <f t="shared" si="25"/>
        <v>Click here</v>
      </c>
      <c r="C167" s="12"/>
      <c r="D167" s="34"/>
      <c r="E167" s="14"/>
      <c r="F167" s="13"/>
      <c r="G167" s="14"/>
      <c r="H167" s="11"/>
      <c r="I167" s="11"/>
      <c r="J167" s="14"/>
      <c r="K167" s="15"/>
      <c r="L167" s="15"/>
      <c r="M167" s="35"/>
      <c r="N167" s="13"/>
      <c r="O167" s="70"/>
      <c r="P167" s="18"/>
      <c r="Q167" s="13">
        <f t="shared" si="26"/>
        <v>0</v>
      </c>
      <c r="R167" s="11">
        <f t="shared" si="20"/>
        <v>0</v>
      </c>
      <c r="S167" s="13">
        <f t="shared" si="21"/>
        <v>0</v>
      </c>
      <c r="T167" s="13">
        <f t="shared" si="22"/>
        <v>0</v>
      </c>
      <c r="U167" s="13">
        <f t="shared" si="23"/>
        <v>0</v>
      </c>
      <c r="V167" s="13">
        <f t="shared" si="24"/>
        <v>0</v>
      </c>
    </row>
    <row r="168" spans="1:22" ht="60" customHeight="1" x14ac:dyDescent="0.3">
      <c r="A168" s="9"/>
      <c r="B168" s="76" t="str">
        <f t="shared" si="25"/>
        <v>Click here</v>
      </c>
      <c r="C168" s="12"/>
      <c r="D168" s="34"/>
      <c r="E168" s="14"/>
      <c r="F168" s="13"/>
      <c r="G168" s="14"/>
      <c r="H168" s="11"/>
      <c r="I168" s="11"/>
      <c r="J168" s="14"/>
      <c r="K168" s="15"/>
      <c r="L168" s="15"/>
      <c r="M168" s="35"/>
      <c r="N168" s="13"/>
      <c r="O168" s="70"/>
      <c r="P168" s="18"/>
      <c r="Q168" s="13">
        <f t="shared" si="26"/>
        <v>0</v>
      </c>
      <c r="R168" s="11">
        <f t="shared" si="20"/>
        <v>0</v>
      </c>
      <c r="S168" s="13">
        <f t="shared" si="21"/>
        <v>0</v>
      </c>
      <c r="T168" s="13">
        <f t="shared" si="22"/>
        <v>0</v>
      </c>
      <c r="U168" s="13">
        <f t="shared" si="23"/>
        <v>0</v>
      </c>
      <c r="V168" s="13">
        <f t="shared" si="24"/>
        <v>0</v>
      </c>
    </row>
    <row r="169" spans="1:22" ht="60" customHeight="1" x14ac:dyDescent="0.3">
      <c r="A169" s="9"/>
      <c r="B169" s="76" t="str">
        <f t="shared" si="25"/>
        <v>Click here</v>
      </c>
      <c r="C169" s="12"/>
      <c r="D169" s="34"/>
      <c r="E169" s="14"/>
      <c r="F169" s="13"/>
      <c r="G169" s="14"/>
      <c r="H169" s="11"/>
      <c r="I169" s="11"/>
      <c r="J169" s="14"/>
      <c r="K169" s="15"/>
      <c r="L169" s="15"/>
      <c r="M169" s="35"/>
      <c r="N169" s="13"/>
      <c r="O169" s="70"/>
      <c r="P169" s="18"/>
      <c r="Q169" s="13">
        <f t="shared" si="26"/>
        <v>0</v>
      </c>
      <c r="R169" s="11">
        <f t="shared" si="20"/>
        <v>0</v>
      </c>
      <c r="S169" s="13">
        <f t="shared" si="21"/>
        <v>0</v>
      </c>
      <c r="T169" s="13">
        <f t="shared" si="22"/>
        <v>0</v>
      </c>
      <c r="U169" s="13">
        <f t="shared" si="23"/>
        <v>0</v>
      </c>
      <c r="V169" s="13">
        <f t="shared" si="24"/>
        <v>0</v>
      </c>
    </row>
    <row r="170" spans="1:22" ht="60" customHeight="1" x14ac:dyDescent="0.3">
      <c r="A170" s="9"/>
      <c r="B170" s="76" t="str">
        <f t="shared" si="25"/>
        <v>Click here</v>
      </c>
      <c r="C170" s="12"/>
      <c r="D170" s="34"/>
      <c r="E170" s="14"/>
      <c r="F170" s="13"/>
      <c r="G170" s="14"/>
      <c r="H170" s="11"/>
      <c r="I170" s="11"/>
      <c r="J170" s="14"/>
      <c r="K170" s="15"/>
      <c r="L170" s="15"/>
      <c r="M170" s="35"/>
      <c r="N170" s="13"/>
      <c r="O170" s="70"/>
      <c r="P170" s="18"/>
      <c r="Q170" s="13">
        <f t="shared" si="26"/>
        <v>0</v>
      </c>
      <c r="R170" s="11">
        <f t="shared" si="20"/>
        <v>0</v>
      </c>
      <c r="S170" s="13">
        <f t="shared" si="21"/>
        <v>0</v>
      </c>
      <c r="T170" s="13">
        <f t="shared" si="22"/>
        <v>0</v>
      </c>
      <c r="U170" s="13">
        <f t="shared" si="23"/>
        <v>0</v>
      </c>
      <c r="V170" s="13">
        <f t="shared" si="24"/>
        <v>0</v>
      </c>
    </row>
    <row r="171" spans="1:22" ht="60" customHeight="1" x14ac:dyDescent="0.3">
      <c r="A171" s="9"/>
      <c r="B171" s="76" t="str">
        <f t="shared" si="25"/>
        <v>Click here</v>
      </c>
      <c r="C171" s="12"/>
      <c r="D171" s="34"/>
      <c r="E171" s="14"/>
      <c r="F171" s="13"/>
      <c r="G171" s="14"/>
      <c r="H171" s="11"/>
      <c r="I171" s="11"/>
      <c r="J171" s="14"/>
      <c r="K171" s="15"/>
      <c r="L171" s="15"/>
      <c r="M171" s="35"/>
      <c r="N171" s="13"/>
      <c r="O171" s="70"/>
      <c r="P171" s="18"/>
      <c r="Q171" s="13">
        <f t="shared" si="26"/>
        <v>0</v>
      </c>
      <c r="R171" s="11">
        <f t="shared" si="20"/>
        <v>0</v>
      </c>
      <c r="S171" s="13">
        <f t="shared" si="21"/>
        <v>0</v>
      </c>
      <c r="T171" s="13">
        <f t="shared" si="22"/>
        <v>0</v>
      </c>
      <c r="U171" s="13">
        <f t="shared" si="23"/>
        <v>0</v>
      </c>
      <c r="V171" s="13">
        <f t="shared" si="24"/>
        <v>0</v>
      </c>
    </row>
    <row r="172" spans="1:22" ht="60" customHeight="1" x14ac:dyDescent="0.3">
      <c r="A172" s="9"/>
      <c r="B172" s="76" t="str">
        <f t="shared" si="25"/>
        <v>Click here</v>
      </c>
      <c r="C172" s="12"/>
      <c r="D172" s="34"/>
      <c r="E172" s="14"/>
      <c r="F172" s="13"/>
      <c r="G172" s="14"/>
      <c r="H172" s="11"/>
      <c r="I172" s="11"/>
      <c r="J172" s="14"/>
      <c r="K172" s="15"/>
      <c r="L172" s="15"/>
      <c r="M172" s="35"/>
      <c r="N172" s="13"/>
      <c r="O172" s="70"/>
      <c r="P172" s="18"/>
      <c r="Q172" s="13">
        <f t="shared" si="26"/>
        <v>0</v>
      </c>
      <c r="R172" s="11">
        <f t="shared" si="20"/>
        <v>0</v>
      </c>
      <c r="S172" s="13">
        <f t="shared" si="21"/>
        <v>0</v>
      </c>
      <c r="T172" s="13">
        <f t="shared" si="22"/>
        <v>0</v>
      </c>
      <c r="U172" s="13">
        <f t="shared" si="23"/>
        <v>0</v>
      </c>
      <c r="V172" s="13">
        <f t="shared" si="24"/>
        <v>0</v>
      </c>
    </row>
    <row r="173" spans="1:22" ht="60" customHeight="1" x14ac:dyDescent="0.3">
      <c r="A173" s="9"/>
      <c r="B173" s="76" t="str">
        <f t="shared" si="25"/>
        <v>Click here</v>
      </c>
      <c r="C173" s="12"/>
      <c r="D173" s="34"/>
      <c r="E173" s="14"/>
      <c r="F173" s="13"/>
      <c r="G173" s="14"/>
      <c r="H173" s="11"/>
      <c r="I173" s="11"/>
      <c r="J173" s="14"/>
      <c r="K173" s="15"/>
      <c r="L173" s="15"/>
      <c r="M173" s="35"/>
      <c r="N173" s="13"/>
      <c r="O173" s="70"/>
      <c r="P173" s="18"/>
      <c r="Q173" s="13">
        <f t="shared" si="26"/>
        <v>0</v>
      </c>
      <c r="R173" s="11">
        <f t="shared" si="20"/>
        <v>0</v>
      </c>
      <c r="S173" s="13">
        <f t="shared" si="21"/>
        <v>0</v>
      </c>
      <c r="T173" s="13">
        <f t="shared" si="22"/>
        <v>0</v>
      </c>
      <c r="U173" s="13">
        <f t="shared" si="23"/>
        <v>0</v>
      </c>
      <c r="V173" s="13">
        <f t="shared" si="24"/>
        <v>0</v>
      </c>
    </row>
    <row r="174" spans="1:22" ht="60" customHeight="1" x14ac:dyDescent="0.3">
      <c r="A174" s="9"/>
      <c r="B174" s="76" t="str">
        <f t="shared" si="25"/>
        <v>Click here</v>
      </c>
      <c r="C174" s="12"/>
      <c r="D174" s="34"/>
      <c r="E174" s="14"/>
      <c r="F174" s="13"/>
      <c r="G174" s="14"/>
      <c r="H174" s="11"/>
      <c r="I174" s="11"/>
      <c r="J174" s="14"/>
      <c r="K174" s="15"/>
      <c r="L174" s="15"/>
      <c r="M174" s="35"/>
      <c r="N174" s="13"/>
      <c r="O174" s="70"/>
      <c r="P174" s="18"/>
      <c r="Q174" s="13">
        <f t="shared" si="26"/>
        <v>0</v>
      </c>
      <c r="R174" s="11">
        <f t="shared" si="20"/>
        <v>0</v>
      </c>
      <c r="S174" s="13">
        <f t="shared" si="21"/>
        <v>0</v>
      </c>
      <c r="T174" s="13">
        <f t="shared" si="22"/>
        <v>0</v>
      </c>
      <c r="U174" s="13">
        <f t="shared" si="23"/>
        <v>0</v>
      </c>
      <c r="V174" s="13">
        <f t="shared" si="24"/>
        <v>0</v>
      </c>
    </row>
    <row r="175" spans="1:22" ht="60" customHeight="1" x14ac:dyDescent="0.3">
      <c r="A175" s="9"/>
      <c r="B175" s="76" t="str">
        <f t="shared" si="25"/>
        <v>Click here</v>
      </c>
      <c r="C175" s="12"/>
      <c r="D175" s="34"/>
      <c r="E175" s="14"/>
      <c r="F175" s="13"/>
      <c r="G175" s="14"/>
      <c r="H175" s="11"/>
      <c r="I175" s="11"/>
      <c r="J175" s="14"/>
      <c r="K175" s="15"/>
      <c r="L175" s="15"/>
      <c r="M175" s="35"/>
      <c r="N175" s="13"/>
      <c r="O175" s="70"/>
      <c r="P175" s="18"/>
      <c r="Q175" s="13">
        <f t="shared" si="26"/>
        <v>0</v>
      </c>
      <c r="R175" s="11">
        <f t="shared" si="20"/>
        <v>0</v>
      </c>
      <c r="S175" s="13">
        <f t="shared" si="21"/>
        <v>0</v>
      </c>
      <c r="T175" s="13">
        <f t="shared" si="22"/>
        <v>0</v>
      </c>
      <c r="U175" s="13">
        <f t="shared" si="23"/>
        <v>0</v>
      </c>
      <c r="V175" s="13">
        <f t="shared" si="24"/>
        <v>0</v>
      </c>
    </row>
    <row r="176" spans="1:22" ht="60" customHeight="1" x14ac:dyDescent="0.3">
      <c r="A176" s="9"/>
      <c r="B176" s="76" t="str">
        <f t="shared" si="25"/>
        <v>Click here</v>
      </c>
      <c r="C176" s="12"/>
      <c r="D176" s="34"/>
      <c r="E176" s="14"/>
      <c r="F176" s="13"/>
      <c r="G176" s="14"/>
      <c r="H176" s="11"/>
      <c r="I176" s="11"/>
      <c r="J176" s="14"/>
      <c r="K176" s="15"/>
      <c r="L176" s="15"/>
      <c r="M176" s="35"/>
      <c r="N176" s="13"/>
      <c r="O176" s="70"/>
      <c r="P176" s="18"/>
      <c r="Q176" s="13">
        <f t="shared" si="26"/>
        <v>0</v>
      </c>
      <c r="R176" s="11">
        <f t="shared" si="20"/>
        <v>0</v>
      </c>
      <c r="S176" s="13">
        <f t="shared" si="21"/>
        <v>0</v>
      </c>
      <c r="T176" s="13">
        <f t="shared" si="22"/>
        <v>0</v>
      </c>
      <c r="U176" s="13">
        <f t="shared" si="23"/>
        <v>0</v>
      </c>
      <c r="V176" s="13">
        <f t="shared" si="24"/>
        <v>0</v>
      </c>
    </row>
    <row r="177" spans="1:22" ht="60" customHeight="1" x14ac:dyDescent="0.3">
      <c r="A177" s="9"/>
      <c r="B177" s="76" t="str">
        <f t="shared" si="25"/>
        <v>Click here</v>
      </c>
      <c r="C177" s="12"/>
      <c r="D177" s="34"/>
      <c r="E177" s="14"/>
      <c r="F177" s="13"/>
      <c r="G177" s="14"/>
      <c r="H177" s="11"/>
      <c r="I177" s="11"/>
      <c r="J177" s="14"/>
      <c r="K177" s="15"/>
      <c r="L177" s="15"/>
      <c r="M177" s="35"/>
      <c r="N177" s="13"/>
      <c r="O177" s="70"/>
      <c r="P177" s="18"/>
      <c r="Q177" s="13">
        <f t="shared" si="26"/>
        <v>0</v>
      </c>
      <c r="R177" s="11">
        <f t="shared" si="20"/>
        <v>0</v>
      </c>
      <c r="S177" s="13">
        <f t="shared" si="21"/>
        <v>0</v>
      </c>
      <c r="T177" s="13">
        <f t="shared" si="22"/>
        <v>0</v>
      </c>
      <c r="U177" s="13">
        <f t="shared" si="23"/>
        <v>0</v>
      </c>
      <c r="V177" s="13">
        <f t="shared" si="24"/>
        <v>0</v>
      </c>
    </row>
    <row r="178" spans="1:22" ht="60" customHeight="1" x14ac:dyDescent="0.3">
      <c r="A178" s="9"/>
      <c r="B178" s="76" t="str">
        <f t="shared" si="25"/>
        <v>Click here</v>
      </c>
      <c r="C178" s="12"/>
      <c r="D178" s="34"/>
      <c r="E178" s="14"/>
      <c r="F178" s="13"/>
      <c r="G178" s="14"/>
      <c r="H178" s="11"/>
      <c r="I178" s="11"/>
      <c r="J178" s="14"/>
      <c r="K178" s="15"/>
      <c r="L178" s="15"/>
      <c r="M178" s="35"/>
      <c r="N178" s="13"/>
      <c r="O178" s="70"/>
      <c r="P178" s="18"/>
      <c r="Q178" s="13">
        <f t="shared" si="26"/>
        <v>0</v>
      </c>
      <c r="R178" s="11">
        <f t="shared" si="20"/>
        <v>0</v>
      </c>
      <c r="S178" s="13">
        <f t="shared" si="21"/>
        <v>0</v>
      </c>
      <c r="T178" s="13">
        <f t="shared" si="22"/>
        <v>0</v>
      </c>
      <c r="U178" s="13">
        <f t="shared" si="23"/>
        <v>0</v>
      </c>
      <c r="V178" s="13">
        <f t="shared" si="24"/>
        <v>0</v>
      </c>
    </row>
    <row r="179" spans="1:22" ht="60" customHeight="1" x14ac:dyDescent="0.3">
      <c r="A179" s="9"/>
      <c r="B179" s="76" t="str">
        <f t="shared" si="25"/>
        <v>Click here</v>
      </c>
      <c r="C179" s="12"/>
      <c r="D179" s="34"/>
      <c r="E179" s="14"/>
      <c r="F179" s="13"/>
      <c r="G179" s="14"/>
      <c r="H179" s="11"/>
      <c r="I179" s="11"/>
      <c r="J179" s="14"/>
      <c r="K179" s="15"/>
      <c r="L179" s="15"/>
      <c r="M179" s="35"/>
      <c r="N179" s="13"/>
      <c r="O179" s="70"/>
      <c r="P179" s="18"/>
      <c r="Q179" s="13">
        <f t="shared" si="26"/>
        <v>0</v>
      </c>
      <c r="R179" s="11">
        <f t="shared" si="20"/>
        <v>0</v>
      </c>
      <c r="S179" s="13">
        <f t="shared" si="21"/>
        <v>0</v>
      </c>
      <c r="T179" s="13">
        <f t="shared" si="22"/>
        <v>0</v>
      </c>
      <c r="U179" s="13">
        <f t="shared" si="23"/>
        <v>0</v>
      </c>
      <c r="V179" s="13">
        <f t="shared" si="24"/>
        <v>0</v>
      </c>
    </row>
    <row r="180" spans="1:22" ht="60" customHeight="1" x14ac:dyDescent="0.3">
      <c r="A180" s="9"/>
      <c r="B180" s="76" t="str">
        <f t="shared" si="25"/>
        <v>Click here</v>
      </c>
      <c r="C180" s="12"/>
      <c r="D180" s="34"/>
      <c r="E180" s="14"/>
      <c r="F180" s="13"/>
      <c r="G180" s="14"/>
      <c r="H180" s="11"/>
      <c r="I180" s="11"/>
      <c r="J180" s="14"/>
      <c r="K180" s="15"/>
      <c r="L180" s="15"/>
      <c r="M180" s="35"/>
      <c r="N180" s="13"/>
      <c r="O180" s="70"/>
      <c r="P180" s="18"/>
      <c r="Q180" s="13">
        <f t="shared" si="26"/>
        <v>0</v>
      </c>
      <c r="R180" s="11">
        <f t="shared" si="20"/>
        <v>0</v>
      </c>
      <c r="S180" s="13">
        <f t="shared" si="21"/>
        <v>0</v>
      </c>
      <c r="T180" s="13">
        <f t="shared" si="22"/>
        <v>0</v>
      </c>
      <c r="U180" s="13">
        <f t="shared" si="23"/>
        <v>0</v>
      </c>
      <c r="V180" s="13">
        <f t="shared" si="24"/>
        <v>0</v>
      </c>
    </row>
    <row r="181" spans="1:22" ht="60" customHeight="1" x14ac:dyDescent="0.3">
      <c r="A181" s="9"/>
      <c r="B181" s="76" t="str">
        <f t="shared" si="25"/>
        <v>Click here</v>
      </c>
      <c r="C181" s="12"/>
      <c r="D181" s="34"/>
      <c r="E181" s="14"/>
      <c r="F181" s="13"/>
      <c r="G181" s="14"/>
      <c r="H181" s="11"/>
      <c r="I181" s="11"/>
      <c r="J181" s="14"/>
      <c r="K181" s="15"/>
      <c r="L181" s="15"/>
      <c r="M181" s="35"/>
      <c r="N181" s="13"/>
      <c r="O181" s="70"/>
      <c r="P181" s="18"/>
      <c r="Q181" s="13">
        <f t="shared" si="26"/>
        <v>0</v>
      </c>
      <c r="R181" s="11">
        <f t="shared" si="20"/>
        <v>0</v>
      </c>
      <c r="S181" s="13">
        <f t="shared" si="21"/>
        <v>0</v>
      </c>
      <c r="T181" s="13">
        <f t="shared" si="22"/>
        <v>0</v>
      </c>
      <c r="U181" s="13">
        <f t="shared" si="23"/>
        <v>0</v>
      </c>
      <c r="V181" s="13">
        <f t="shared" si="24"/>
        <v>0</v>
      </c>
    </row>
    <row r="182" spans="1:22" ht="60" customHeight="1" x14ac:dyDescent="0.3">
      <c r="A182" s="9"/>
      <c r="B182" s="76" t="str">
        <f t="shared" si="25"/>
        <v>Click here</v>
      </c>
      <c r="C182" s="12"/>
      <c r="D182" s="34"/>
      <c r="E182" s="14"/>
      <c r="F182" s="13"/>
      <c r="G182" s="14"/>
      <c r="H182" s="11"/>
      <c r="I182" s="11"/>
      <c r="J182" s="14"/>
      <c r="K182" s="15"/>
      <c r="L182" s="15"/>
      <c r="M182" s="35"/>
      <c r="N182" s="13"/>
      <c r="O182" s="70"/>
      <c r="P182" s="18"/>
      <c r="Q182" s="13">
        <f t="shared" si="26"/>
        <v>0</v>
      </c>
      <c r="R182" s="11">
        <f t="shared" si="20"/>
        <v>0</v>
      </c>
      <c r="S182" s="13">
        <f t="shared" si="21"/>
        <v>0</v>
      </c>
      <c r="T182" s="13">
        <f t="shared" si="22"/>
        <v>0</v>
      </c>
      <c r="U182" s="13">
        <f t="shared" si="23"/>
        <v>0</v>
      </c>
      <c r="V182" s="13">
        <f t="shared" si="24"/>
        <v>0</v>
      </c>
    </row>
    <row r="183" spans="1:22" ht="60" customHeight="1" x14ac:dyDescent="0.3">
      <c r="A183" s="9"/>
      <c r="B183" s="76" t="str">
        <f t="shared" si="25"/>
        <v>Click here</v>
      </c>
      <c r="C183" s="12"/>
      <c r="D183" s="34"/>
      <c r="E183" s="14"/>
      <c r="F183" s="13"/>
      <c r="G183" s="14"/>
      <c r="H183" s="11"/>
      <c r="I183" s="11"/>
      <c r="J183" s="14"/>
      <c r="K183" s="15"/>
      <c r="L183" s="15"/>
      <c r="M183" s="35"/>
      <c r="N183" s="13"/>
      <c r="O183" s="70"/>
      <c r="P183" s="18"/>
      <c r="Q183" s="13">
        <f t="shared" si="26"/>
        <v>0</v>
      </c>
      <c r="R183" s="11">
        <f t="shared" si="20"/>
        <v>0</v>
      </c>
      <c r="S183" s="13">
        <f t="shared" si="21"/>
        <v>0</v>
      </c>
      <c r="T183" s="13">
        <f t="shared" si="22"/>
        <v>0</v>
      </c>
      <c r="U183" s="13">
        <f t="shared" si="23"/>
        <v>0</v>
      </c>
      <c r="V183" s="13">
        <f t="shared" si="24"/>
        <v>0</v>
      </c>
    </row>
    <row r="184" spans="1:22" ht="60" customHeight="1" x14ac:dyDescent="0.3">
      <c r="A184" s="9"/>
      <c r="B184" s="76" t="str">
        <f t="shared" si="25"/>
        <v>Click here</v>
      </c>
      <c r="C184" s="12"/>
      <c r="D184" s="34"/>
      <c r="E184" s="14"/>
      <c r="F184" s="13"/>
      <c r="G184" s="14"/>
      <c r="H184" s="11"/>
      <c r="I184" s="11"/>
      <c r="J184" s="14"/>
      <c r="K184" s="15"/>
      <c r="L184" s="15"/>
      <c r="M184" s="35"/>
      <c r="N184" s="13"/>
      <c r="O184" s="70"/>
      <c r="P184" s="18"/>
      <c r="Q184" s="13">
        <f t="shared" si="26"/>
        <v>0</v>
      </c>
      <c r="R184" s="11">
        <f t="shared" si="20"/>
        <v>0</v>
      </c>
      <c r="S184" s="13">
        <f t="shared" si="21"/>
        <v>0</v>
      </c>
      <c r="T184" s="13">
        <f t="shared" si="22"/>
        <v>0</v>
      </c>
      <c r="U184" s="13">
        <f t="shared" si="23"/>
        <v>0</v>
      </c>
      <c r="V184" s="13">
        <f t="shared" si="24"/>
        <v>0</v>
      </c>
    </row>
    <row r="185" spans="1:22" ht="60" customHeight="1" x14ac:dyDescent="0.3">
      <c r="A185" s="9"/>
      <c r="B185" s="76" t="str">
        <f t="shared" si="25"/>
        <v>Click here</v>
      </c>
      <c r="C185" s="12"/>
      <c r="D185" s="34"/>
      <c r="E185" s="14"/>
      <c r="F185" s="13"/>
      <c r="G185" s="14"/>
      <c r="H185" s="11"/>
      <c r="I185" s="11"/>
      <c r="J185" s="14"/>
      <c r="K185" s="15"/>
      <c r="L185" s="15"/>
      <c r="M185" s="35"/>
      <c r="N185" s="13"/>
      <c r="O185" s="70"/>
      <c r="P185" s="18"/>
      <c r="Q185" s="13">
        <f t="shared" si="26"/>
        <v>0</v>
      </c>
      <c r="R185" s="11">
        <f t="shared" ref="R185:R215" si="27">I185*Q185</f>
        <v>0</v>
      </c>
      <c r="S185" s="13">
        <f t="shared" ref="S185:S215" si="28">IFERROR(M185*P185, 0)</f>
        <v>0</v>
      </c>
      <c r="T185" s="13">
        <f t="shared" ref="T185:T215" si="29">IF(OR(K185=" 115 x 77 ", K185 = "115 x 77"), P185,0)</f>
        <v>0</v>
      </c>
      <c r="U185" s="13">
        <f t="shared" ref="U185:U215" si="30">IF(OR(K185=" 115 x 108 ", K185 = "115 x 108"), P185,0)</f>
        <v>0</v>
      </c>
      <c r="V185" s="13">
        <f t="shared" ref="V185:V215" si="31">IF(OR(K185=" 115 x 115 ", K185 = "115 x 115"), P185,0)</f>
        <v>0</v>
      </c>
    </row>
    <row r="186" spans="1:22" ht="60" customHeight="1" x14ac:dyDescent="0.3">
      <c r="A186" s="9"/>
      <c r="B186" s="76" t="str">
        <f t="shared" si="25"/>
        <v>Click here</v>
      </c>
      <c r="C186" s="12"/>
      <c r="D186" s="34"/>
      <c r="E186" s="14"/>
      <c r="F186" s="13"/>
      <c r="G186" s="14"/>
      <c r="H186" s="11"/>
      <c r="I186" s="11"/>
      <c r="J186" s="14"/>
      <c r="K186" s="15"/>
      <c r="L186" s="15"/>
      <c r="M186" s="35"/>
      <c r="N186" s="13"/>
      <c r="O186" s="70"/>
      <c r="P186" s="18"/>
      <c r="Q186" s="13">
        <f t="shared" si="26"/>
        <v>0</v>
      </c>
      <c r="R186" s="11">
        <f t="shared" si="27"/>
        <v>0</v>
      </c>
      <c r="S186" s="13">
        <f t="shared" si="28"/>
        <v>0</v>
      </c>
      <c r="T186" s="13">
        <f t="shared" si="29"/>
        <v>0</v>
      </c>
      <c r="U186" s="13">
        <f t="shared" si="30"/>
        <v>0</v>
      </c>
      <c r="V186" s="13">
        <f t="shared" si="31"/>
        <v>0</v>
      </c>
    </row>
    <row r="187" spans="1:22" ht="60" customHeight="1" x14ac:dyDescent="0.3">
      <c r="A187" s="9"/>
      <c r="B187" s="76" t="str">
        <f t="shared" si="25"/>
        <v>Click here</v>
      </c>
      <c r="C187" s="12"/>
      <c r="D187" s="34"/>
      <c r="E187" s="14"/>
      <c r="F187" s="13"/>
      <c r="G187" s="14"/>
      <c r="H187" s="11"/>
      <c r="I187" s="11"/>
      <c r="J187" s="14"/>
      <c r="K187" s="15"/>
      <c r="L187" s="15"/>
      <c r="M187" s="35"/>
      <c r="N187" s="13"/>
      <c r="O187" s="70"/>
      <c r="P187" s="18"/>
      <c r="Q187" s="13">
        <f t="shared" si="26"/>
        <v>0</v>
      </c>
      <c r="R187" s="11">
        <f t="shared" si="27"/>
        <v>0</v>
      </c>
      <c r="S187" s="13">
        <f t="shared" si="28"/>
        <v>0</v>
      </c>
      <c r="T187" s="13">
        <f t="shared" si="29"/>
        <v>0</v>
      </c>
      <c r="U187" s="13">
        <f t="shared" si="30"/>
        <v>0</v>
      </c>
      <c r="V187" s="13">
        <f t="shared" si="31"/>
        <v>0</v>
      </c>
    </row>
    <row r="188" spans="1:22" ht="60" customHeight="1" x14ac:dyDescent="0.3">
      <c r="A188" s="9"/>
      <c r="B188" s="76" t="str">
        <f t="shared" si="25"/>
        <v>Click here</v>
      </c>
      <c r="C188" s="12"/>
      <c r="D188" s="34"/>
      <c r="E188" s="14"/>
      <c r="F188" s="13"/>
      <c r="G188" s="14"/>
      <c r="H188" s="11"/>
      <c r="I188" s="11"/>
      <c r="J188" s="14"/>
      <c r="K188" s="15"/>
      <c r="L188" s="15"/>
      <c r="M188" s="35"/>
      <c r="N188" s="13"/>
      <c r="O188" s="70"/>
      <c r="P188" s="18"/>
      <c r="Q188" s="13">
        <f t="shared" si="26"/>
        <v>0</v>
      </c>
      <c r="R188" s="11">
        <f t="shared" si="27"/>
        <v>0</v>
      </c>
      <c r="S188" s="13">
        <f t="shared" si="28"/>
        <v>0</v>
      </c>
      <c r="T188" s="13">
        <f t="shared" si="29"/>
        <v>0</v>
      </c>
      <c r="U188" s="13">
        <f t="shared" si="30"/>
        <v>0</v>
      </c>
      <c r="V188" s="13">
        <f t="shared" si="31"/>
        <v>0</v>
      </c>
    </row>
    <row r="189" spans="1:22" ht="60" customHeight="1" x14ac:dyDescent="0.3">
      <c r="A189" s="9"/>
      <c r="B189" s="76" t="str">
        <f t="shared" si="25"/>
        <v>Click here</v>
      </c>
      <c r="C189" s="12"/>
      <c r="D189" s="34"/>
      <c r="E189" s="14"/>
      <c r="F189" s="13"/>
      <c r="G189" s="14"/>
      <c r="H189" s="11"/>
      <c r="I189" s="11"/>
      <c r="J189" s="14"/>
      <c r="K189" s="15"/>
      <c r="L189" s="15"/>
      <c r="M189" s="35"/>
      <c r="N189" s="13"/>
      <c r="O189" s="70"/>
      <c r="P189" s="18"/>
      <c r="Q189" s="13">
        <f t="shared" si="26"/>
        <v>0</v>
      </c>
      <c r="R189" s="11">
        <f t="shared" si="27"/>
        <v>0</v>
      </c>
      <c r="S189" s="13">
        <f t="shared" si="28"/>
        <v>0</v>
      </c>
      <c r="T189" s="13">
        <f t="shared" si="29"/>
        <v>0</v>
      </c>
      <c r="U189" s="13">
        <f t="shared" si="30"/>
        <v>0</v>
      </c>
      <c r="V189" s="13">
        <f t="shared" si="31"/>
        <v>0</v>
      </c>
    </row>
    <row r="190" spans="1:22" ht="60" customHeight="1" x14ac:dyDescent="0.3">
      <c r="A190" s="9"/>
      <c r="B190" s="76" t="str">
        <f t="shared" si="25"/>
        <v>Click here</v>
      </c>
      <c r="C190" s="12"/>
      <c r="D190" s="34"/>
      <c r="E190" s="14"/>
      <c r="F190" s="13"/>
      <c r="G190" s="14"/>
      <c r="H190" s="11"/>
      <c r="I190" s="11"/>
      <c r="J190" s="14"/>
      <c r="K190" s="15"/>
      <c r="L190" s="15"/>
      <c r="M190" s="35"/>
      <c r="N190" s="13"/>
      <c r="O190" s="70"/>
      <c r="P190" s="18"/>
      <c r="Q190" s="13">
        <f t="shared" si="26"/>
        <v>0</v>
      </c>
      <c r="R190" s="11">
        <f t="shared" si="27"/>
        <v>0</v>
      </c>
      <c r="S190" s="13">
        <f t="shared" si="28"/>
        <v>0</v>
      </c>
      <c r="T190" s="13">
        <f t="shared" si="29"/>
        <v>0</v>
      </c>
      <c r="U190" s="13">
        <f t="shared" si="30"/>
        <v>0</v>
      </c>
      <c r="V190" s="13">
        <f t="shared" si="31"/>
        <v>0</v>
      </c>
    </row>
    <row r="191" spans="1:22" ht="60" customHeight="1" x14ac:dyDescent="0.3">
      <c r="A191" s="9"/>
      <c r="B191" s="76" t="str">
        <f t="shared" si="25"/>
        <v>Click here</v>
      </c>
      <c r="C191" s="12"/>
      <c r="D191" s="34"/>
      <c r="E191" s="14"/>
      <c r="F191" s="13"/>
      <c r="G191" s="14"/>
      <c r="H191" s="11"/>
      <c r="I191" s="11"/>
      <c r="J191" s="14"/>
      <c r="K191" s="15"/>
      <c r="L191" s="15"/>
      <c r="M191" s="35"/>
      <c r="N191" s="13"/>
      <c r="O191" s="70"/>
      <c r="P191" s="18"/>
      <c r="Q191" s="13">
        <f t="shared" si="26"/>
        <v>0</v>
      </c>
      <c r="R191" s="11">
        <f t="shared" si="27"/>
        <v>0</v>
      </c>
      <c r="S191" s="13">
        <f t="shared" si="28"/>
        <v>0</v>
      </c>
      <c r="T191" s="13">
        <f t="shared" si="29"/>
        <v>0</v>
      </c>
      <c r="U191" s="13">
        <f t="shared" si="30"/>
        <v>0</v>
      </c>
      <c r="V191" s="13">
        <f t="shared" si="31"/>
        <v>0</v>
      </c>
    </row>
    <row r="192" spans="1:22" ht="60" customHeight="1" x14ac:dyDescent="0.3">
      <c r="A192" s="9"/>
      <c r="B192" s="76" t="str">
        <f t="shared" si="25"/>
        <v>Click here</v>
      </c>
      <c r="C192" s="12"/>
      <c r="D192" s="34"/>
      <c r="E192" s="14"/>
      <c r="F192" s="13"/>
      <c r="G192" s="14"/>
      <c r="H192" s="11"/>
      <c r="I192" s="11"/>
      <c r="J192" s="14"/>
      <c r="K192" s="15"/>
      <c r="L192" s="15"/>
      <c r="M192" s="35"/>
      <c r="N192" s="13"/>
      <c r="O192" s="70"/>
      <c r="P192" s="18"/>
      <c r="Q192" s="13">
        <f t="shared" si="26"/>
        <v>0</v>
      </c>
      <c r="R192" s="11">
        <f t="shared" si="27"/>
        <v>0</v>
      </c>
      <c r="S192" s="13">
        <f t="shared" si="28"/>
        <v>0</v>
      </c>
      <c r="T192" s="13">
        <f t="shared" si="29"/>
        <v>0</v>
      </c>
      <c r="U192" s="13">
        <f t="shared" si="30"/>
        <v>0</v>
      </c>
      <c r="V192" s="13">
        <f t="shared" si="31"/>
        <v>0</v>
      </c>
    </row>
    <row r="193" spans="1:22" ht="60" customHeight="1" x14ac:dyDescent="0.3">
      <c r="A193" s="9"/>
      <c r="B193" s="76" t="str">
        <f t="shared" si="25"/>
        <v>Click here</v>
      </c>
      <c r="C193" s="12"/>
      <c r="D193" s="34"/>
      <c r="E193" s="14"/>
      <c r="F193" s="13"/>
      <c r="G193" s="14"/>
      <c r="H193" s="11"/>
      <c r="I193" s="11"/>
      <c r="J193" s="14"/>
      <c r="K193" s="15"/>
      <c r="L193" s="15"/>
      <c r="M193" s="35"/>
      <c r="N193" s="13"/>
      <c r="O193" s="70"/>
      <c r="P193" s="18"/>
      <c r="Q193" s="13">
        <f t="shared" si="26"/>
        <v>0</v>
      </c>
      <c r="R193" s="11">
        <f t="shared" si="27"/>
        <v>0</v>
      </c>
      <c r="S193" s="13">
        <f t="shared" si="28"/>
        <v>0</v>
      </c>
      <c r="T193" s="13">
        <f t="shared" si="29"/>
        <v>0</v>
      </c>
      <c r="U193" s="13">
        <f t="shared" si="30"/>
        <v>0</v>
      </c>
      <c r="V193" s="13">
        <f t="shared" si="31"/>
        <v>0</v>
      </c>
    </row>
    <row r="194" spans="1:22" ht="60" customHeight="1" x14ac:dyDescent="0.3">
      <c r="A194" s="9"/>
      <c r="B194" s="76" t="str">
        <f t="shared" si="25"/>
        <v>Click here</v>
      </c>
      <c r="C194" s="12"/>
      <c r="D194" s="34"/>
      <c r="E194" s="14"/>
      <c r="F194" s="13"/>
      <c r="G194" s="14"/>
      <c r="H194" s="11"/>
      <c r="I194" s="11"/>
      <c r="J194" s="14"/>
      <c r="K194" s="15"/>
      <c r="L194" s="15"/>
      <c r="M194" s="35"/>
      <c r="N194" s="13"/>
      <c r="O194" s="70"/>
      <c r="P194" s="18"/>
      <c r="Q194" s="13">
        <f t="shared" si="26"/>
        <v>0</v>
      </c>
      <c r="R194" s="11">
        <f t="shared" si="27"/>
        <v>0</v>
      </c>
      <c r="S194" s="13">
        <f t="shared" si="28"/>
        <v>0</v>
      </c>
      <c r="T194" s="13">
        <f t="shared" si="29"/>
        <v>0</v>
      </c>
      <c r="U194" s="13">
        <f t="shared" si="30"/>
        <v>0</v>
      </c>
      <c r="V194" s="13">
        <f t="shared" si="31"/>
        <v>0</v>
      </c>
    </row>
    <row r="195" spans="1:22" ht="60" customHeight="1" x14ac:dyDescent="0.3">
      <c r="A195" s="9"/>
      <c r="B195" s="76" t="str">
        <f t="shared" si="25"/>
        <v>Click here</v>
      </c>
      <c r="C195" s="12"/>
      <c r="D195" s="34"/>
      <c r="E195" s="14"/>
      <c r="F195" s="13"/>
      <c r="G195" s="14"/>
      <c r="H195" s="11"/>
      <c r="I195" s="11"/>
      <c r="J195" s="14"/>
      <c r="K195" s="15"/>
      <c r="L195" s="15"/>
      <c r="M195" s="35"/>
      <c r="N195" s="13"/>
      <c r="O195" s="70"/>
      <c r="P195" s="18"/>
      <c r="Q195" s="13">
        <f t="shared" si="26"/>
        <v>0</v>
      </c>
      <c r="R195" s="11">
        <f t="shared" si="27"/>
        <v>0</v>
      </c>
      <c r="S195" s="13">
        <f t="shared" si="28"/>
        <v>0</v>
      </c>
      <c r="T195" s="13">
        <f t="shared" si="29"/>
        <v>0</v>
      </c>
      <c r="U195" s="13">
        <f t="shared" si="30"/>
        <v>0</v>
      </c>
      <c r="V195" s="13">
        <f t="shared" si="31"/>
        <v>0</v>
      </c>
    </row>
    <row r="196" spans="1:22" ht="60" customHeight="1" x14ac:dyDescent="0.3">
      <c r="A196" s="9"/>
      <c r="B196" s="76" t="str">
        <f t="shared" si="25"/>
        <v>Click here</v>
      </c>
      <c r="C196" s="12"/>
      <c r="D196" s="34"/>
      <c r="E196" s="14"/>
      <c r="F196" s="13"/>
      <c r="G196" s="14"/>
      <c r="H196" s="11"/>
      <c r="I196" s="11"/>
      <c r="J196" s="14"/>
      <c r="K196" s="15"/>
      <c r="L196" s="15"/>
      <c r="M196" s="35"/>
      <c r="N196" s="13"/>
      <c r="O196" s="70"/>
      <c r="P196" s="18"/>
      <c r="Q196" s="13">
        <f t="shared" si="26"/>
        <v>0</v>
      </c>
      <c r="R196" s="11">
        <f t="shared" si="27"/>
        <v>0</v>
      </c>
      <c r="S196" s="13">
        <f t="shared" si="28"/>
        <v>0</v>
      </c>
      <c r="T196" s="13">
        <f t="shared" si="29"/>
        <v>0</v>
      </c>
      <c r="U196" s="13">
        <f t="shared" si="30"/>
        <v>0</v>
      </c>
      <c r="V196" s="13">
        <f t="shared" si="31"/>
        <v>0</v>
      </c>
    </row>
    <row r="197" spans="1:22" ht="60" customHeight="1" x14ac:dyDescent="0.3">
      <c r="A197" s="9"/>
      <c r="B197" s="76" t="str">
        <f t="shared" si="25"/>
        <v>Click here</v>
      </c>
      <c r="C197" s="12"/>
      <c r="D197" s="34"/>
      <c r="E197" s="14"/>
      <c r="F197" s="13"/>
      <c r="G197" s="14"/>
      <c r="H197" s="11"/>
      <c r="I197" s="11"/>
      <c r="J197" s="14"/>
      <c r="K197" s="15"/>
      <c r="L197" s="15"/>
      <c r="M197" s="35"/>
      <c r="N197" s="13"/>
      <c r="O197" s="70"/>
      <c r="P197" s="18"/>
      <c r="Q197" s="13">
        <f t="shared" si="26"/>
        <v>0</v>
      </c>
      <c r="R197" s="11">
        <f t="shared" si="27"/>
        <v>0</v>
      </c>
      <c r="S197" s="13">
        <f t="shared" si="28"/>
        <v>0</v>
      </c>
      <c r="T197" s="13">
        <f t="shared" si="29"/>
        <v>0</v>
      </c>
      <c r="U197" s="13">
        <f t="shared" si="30"/>
        <v>0</v>
      </c>
      <c r="V197" s="13">
        <f t="shared" si="31"/>
        <v>0</v>
      </c>
    </row>
    <row r="198" spans="1:22" ht="60" customHeight="1" x14ac:dyDescent="0.3">
      <c r="A198" s="9"/>
      <c r="B198" s="76" t="str">
        <f t="shared" si="25"/>
        <v>Click here</v>
      </c>
      <c r="C198" s="12"/>
      <c r="D198" s="34"/>
      <c r="E198" s="14"/>
      <c r="F198" s="13"/>
      <c r="G198" s="14"/>
      <c r="H198" s="11"/>
      <c r="I198" s="11"/>
      <c r="J198" s="14"/>
      <c r="K198" s="15"/>
      <c r="L198" s="15"/>
      <c r="M198" s="35"/>
      <c r="N198" s="13"/>
      <c r="O198" s="70"/>
      <c r="P198" s="18"/>
      <c r="Q198" s="13">
        <f t="shared" si="26"/>
        <v>0</v>
      </c>
      <c r="R198" s="11">
        <f t="shared" si="27"/>
        <v>0</v>
      </c>
      <c r="S198" s="13">
        <f t="shared" si="28"/>
        <v>0</v>
      </c>
      <c r="T198" s="13">
        <f t="shared" si="29"/>
        <v>0</v>
      </c>
      <c r="U198" s="13">
        <f t="shared" si="30"/>
        <v>0</v>
      </c>
      <c r="V198" s="13">
        <f t="shared" si="31"/>
        <v>0</v>
      </c>
    </row>
    <row r="199" spans="1:22" ht="60" customHeight="1" x14ac:dyDescent="0.3">
      <c r="A199" s="9"/>
      <c r="B199" s="76" t="str">
        <f t="shared" si="25"/>
        <v>Click here</v>
      </c>
      <c r="C199" s="12"/>
      <c r="D199" s="34"/>
      <c r="E199" s="14"/>
      <c r="F199" s="13"/>
      <c r="G199" s="14"/>
      <c r="H199" s="11"/>
      <c r="I199" s="11"/>
      <c r="J199" s="14"/>
      <c r="K199" s="15"/>
      <c r="L199" s="15"/>
      <c r="M199" s="35"/>
      <c r="N199" s="13"/>
      <c r="O199" s="70"/>
      <c r="P199" s="18"/>
      <c r="Q199" s="13">
        <f t="shared" si="26"/>
        <v>0</v>
      </c>
      <c r="R199" s="11">
        <f t="shared" si="27"/>
        <v>0</v>
      </c>
      <c r="S199" s="13">
        <f t="shared" si="28"/>
        <v>0</v>
      </c>
      <c r="T199" s="13">
        <f t="shared" si="29"/>
        <v>0</v>
      </c>
      <c r="U199" s="13">
        <f t="shared" si="30"/>
        <v>0</v>
      </c>
      <c r="V199" s="13">
        <f t="shared" si="31"/>
        <v>0</v>
      </c>
    </row>
    <row r="200" spans="1:22" ht="60" customHeight="1" x14ac:dyDescent="0.3">
      <c r="A200" s="9"/>
      <c r="B200" s="76" t="str">
        <f t="shared" si="25"/>
        <v>Click here</v>
      </c>
      <c r="C200" s="12"/>
      <c r="D200" s="34"/>
      <c r="E200" s="14"/>
      <c r="F200" s="13"/>
      <c r="G200" s="14"/>
      <c r="H200" s="11"/>
      <c r="I200" s="11"/>
      <c r="J200" s="14"/>
      <c r="K200" s="15"/>
      <c r="L200" s="15"/>
      <c r="M200" s="35"/>
      <c r="N200" s="13"/>
      <c r="O200" s="70"/>
      <c r="P200" s="18"/>
      <c r="Q200" s="13">
        <f t="shared" si="26"/>
        <v>0</v>
      </c>
      <c r="R200" s="11">
        <f t="shared" si="27"/>
        <v>0</v>
      </c>
      <c r="S200" s="13">
        <f t="shared" si="28"/>
        <v>0</v>
      </c>
      <c r="T200" s="13">
        <f t="shared" si="29"/>
        <v>0</v>
      </c>
      <c r="U200" s="13">
        <f t="shared" si="30"/>
        <v>0</v>
      </c>
      <c r="V200" s="13">
        <f t="shared" si="31"/>
        <v>0</v>
      </c>
    </row>
    <row r="201" spans="1:22" ht="60" customHeight="1" x14ac:dyDescent="0.3">
      <c r="A201" s="9"/>
      <c r="B201" s="76" t="str">
        <f t="shared" si="25"/>
        <v>Click here</v>
      </c>
      <c r="C201" s="12"/>
      <c r="D201" s="34"/>
      <c r="E201" s="14"/>
      <c r="F201" s="13"/>
      <c r="G201" s="14"/>
      <c r="H201" s="11"/>
      <c r="I201" s="11"/>
      <c r="J201" s="14"/>
      <c r="K201" s="15"/>
      <c r="L201" s="15"/>
      <c r="M201" s="35"/>
      <c r="N201" s="13"/>
      <c r="O201" s="70"/>
      <c r="P201" s="18"/>
      <c r="Q201" s="13">
        <f t="shared" si="26"/>
        <v>0</v>
      </c>
      <c r="R201" s="11">
        <f t="shared" si="27"/>
        <v>0</v>
      </c>
      <c r="S201" s="13">
        <f t="shared" si="28"/>
        <v>0</v>
      </c>
      <c r="T201" s="13">
        <f t="shared" si="29"/>
        <v>0</v>
      </c>
      <c r="U201" s="13">
        <f t="shared" si="30"/>
        <v>0</v>
      </c>
      <c r="V201" s="13">
        <f t="shared" si="31"/>
        <v>0</v>
      </c>
    </row>
    <row r="202" spans="1:22" ht="60" customHeight="1" x14ac:dyDescent="0.3">
      <c r="A202" s="9"/>
      <c r="B202" s="76" t="str">
        <f t="shared" si="25"/>
        <v>Click here</v>
      </c>
      <c r="C202" s="12"/>
      <c r="D202" s="34"/>
      <c r="E202" s="14"/>
      <c r="F202" s="13"/>
      <c r="G202" s="14"/>
      <c r="H202" s="11"/>
      <c r="I202" s="11"/>
      <c r="J202" s="14"/>
      <c r="K202" s="15"/>
      <c r="L202" s="15"/>
      <c r="M202" s="35"/>
      <c r="N202" s="13"/>
      <c r="O202" s="70"/>
      <c r="P202" s="18"/>
      <c r="Q202" s="13">
        <f t="shared" si="26"/>
        <v>0</v>
      </c>
      <c r="R202" s="11">
        <f t="shared" si="27"/>
        <v>0</v>
      </c>
      <c r="S202" s="13">
        <f t="shared" si="28"/>
        <v>0</v>
      </c>
      <c r="T202" s="13">
        <f t="shared" si="29"/>
        <v>0</v>
      </c>
      <c r="U202" s="13">
        <f t="shared" si="30"/>
        <v>0</v>
      </c>
      <c r="V202" s="13">
        <f t="shared" si="31"/>
        <v>0</v>
      </c>
    </row>
    <row r="203" spans="1:22" ht="60" customHeight="1" x14ac:dyDescent="0.3">
      <c r="A203" s="9"/>
      <c r="B203" s="76" t="str">
        <f t="shared" si="25"/>
        <v>Click here</v>
      </c>
      <c r="C203" s="12"/>
      <c r="D203" s="34"/>
      <c r="E203" s="14"/>
      <c r="F203" s="13"/>
      <c r="G203" s="14"/>
      <c r="H203" s="11"/>
      <c r="I203" s="11"/>
      <c r="J203" s="14"/>
      <c r="K203" s="15"/>
      <c r="L203" s="15"/>
      <c r="M203" s="35"/>
      <c r="N203" s="13"/>
      <c r="O203" s="70"/>
      <c r="P203" s="18"/>
      <c r="Q203" s="13">
        <f t="shared" si="26"/>
        <v>0</v>
      </c>
      <c r="R203" s="11">
        <f t="shared" si="27"/>
        <v>0</v>
      </c>
      <c r="S203" s="13">
        <f t="shared" si="28"/>
        <v>0</v>
      </c>
      <c r="T203" s="13">
        <f t="shared" si="29"/>
        <v>0</v>
      </c>
      <c r="U203" s="13">
        <f t="shared" si="30"/>
        <v>0</v>
      </c>
      <c r="V203" s="13">
        <f t="shared" si="31"/>
        <v>0</v>
      </c>
    </row>
    <row r="204" spans="1:22" ht="60" customHeight="1" x14ac:dyDescent="0.3">
      <c r="A204" s="9"/>
      <c r="B204" s="76" t="str">
        <f t="shared" si="25"/>
        <v>Click here</v>
      </c>
      <c r="C204" s="12"/>
      <c r="D204" s="34"/>
      <c r="E204" s="14"/>
      <c r="F204" s="13"/>
      <c r="G204" s="14"/>
      <c r="H204" s="11"/>
      <c r="I204" s="11"/>
      <c r="J204" s="14"/>
      <c r="K204" s="15"/>
      <c r="L204" s="15"/>
      <c r="M204" s="35"/>
      <c r="N204" s="13"/>
      <c r="O204" s="70"/>
      <c r="P204" s="18"/>
      <c r="Q204" s="13">
        <f t="shared" si="26"/>
        <v>0</v>
      </c>
      <c r="R204" s="11">
        <f t="shared" si="27"/>
        <v>0</v>
      </c>
      <c r="S204" s="13">
        <f t="shared" si="28"/>
        <v>0</v>
      </c>
      <c r="T204" s="13">
        <f t="shared" si="29"/>
        <v>0</v>
      </c>
      <c r="U204" s="13">
        <f t="shared" si="30"/>
        <v>0</v>
      </c>
      <c r="V204" s="13">
        <f t="shared" si="31"/>
        <v>0</v>
      </c>
    </row>
    <row r="205" spans="1:22" ht="60" customHeight="1" x14ac:dyDescent="0.3">
      <c r="A205" s="9"/>
      <c r="B205" s="76" t="str">
        <f t="shared" si="25"/>
        <v>Click here</v>
      </c>
      <c r="C205" s="12"/>
      <c r="D205" s="34"/>
      <c r="E205" s="14"/>
      <c r="F205" s="13"/>
      <c r="G205" s="14"/>
      <c r="H205" s="11"/>
      <c r="I205" s="11"/>
      <c r="J205" s="14"/>
      <c r="K205" s="15"/>
      <c r="L205" s="15"/>
      <c r="M205" s="35"/>
      <c r="N205" s="13"/>
      <c r="O205" s="70"/>
      <c r="P205" s="18"/>
      <c r="Q205" s="13">
        <f t="shared" si="26"/>
        <v>0</v>
      </c>
      <c r="R205" s="11">
        <f t="shared" si="27"/>
        <v>0</v>
      </c>
      <c r="S205" s="13">
        <f t="shared" si="28"/>
        <v>0</v>
      </c>
      <c r="T205" s="13">
        <f t="shared" si="29"/>
        <v>0</v>
      </c>
      <c r="U205" s="13">
        <f t="shared" si="30"/>
        <v>0</v>
      </c>
      <c r="V205" s="13">
        <f t="shared" si="31"/>
        <v>0</v>
      </c>
    </row>
    <row r="206" spans="1:22" ht="60" customHeight="1" x14ac:dyDescent="0.3">
      <c r="A206" s="9"/>
      <c r="B206" s="76" t="str">
        <f t="shared" si="25"/>
        <v>Click here</v>
      </c>
      <c r="C206" s="12"/>
      <c r="D206" s="34"/>
      <c r="E206" s="14"/>
      <c r="F206" s="13"/>
      <c r="G206" s="14"/>
      <c r="H206" s="11"/>
      <c r="I206" s="11"/>
      <c r="J206" s="14"/>
      <c r="K206" s="15"/>
      <c r="L206" s="15"/>
      <c r="M206" s="35"/>
      <c r="N206" s="13"/>
      <c r="O206" s="70"/>
      <c r="P206" s="18"/>
      <c r="Q206" s="13">
        <f t="shared" si="26"/>
        <v>0</v>
      </c>
      <c r="R206" s="11">
        <f t="shared" si="27"/>
        <v>0</v>
      </c>
      <c r="S206" s="13">
        <f t="shared" si="28"/>
        <v>0</v>
      </c>
      <c r="T206" s="13">
        <f t="shared" si="29"/>
        <v>0</v>
      </c>
      <c r="U206" s="13">
        <f t="shared" si="30"/>
        <v>0</v>
      </c>
      <c r="V206" s="13">
        <f t="shared" si="31"/>
        <v>0</v>
      </c>
    </row>
    <row r="207" spans="1:22" ht="60" customHeight="1" x14ac:dyDescent="0.3">
      <c r="A207" s="9"/>
      <c r="B207" s="76" t="str">
        <f t="shared" si="25"/>
        <v>Click here</v>
      </c>
      <c r="C207" s="12"/>
      <c r="D207" s="34"/>
      <c r="E207" s="14"/>
      <c r="F207" s="13"/>
      <c r="G207" s="14"/>
      <c r="H207" s="11"/>
      <c r="I207" s="11"/>
      <c r="J207" s="14"/>
      <c r="K207" s="15"/>
      <c r="L207" s="15"/>
      <c r="M207" s="35"/>
      <c r="N207" s="13"/>
      <c r="O207" s="70"/>
      <c r="P207" s="18"/>
      <c r="Q207" s="13">
        <f t="shared" si="26"/>
        <v>0</v>
      </c>
      <c r="R207" s="11">
        <f t="shared" si="27"/>
        <v>0</v>
      </c>
      <c r="S207" s="13">
        <f t="shared" si="28"/>
        <v>0</v>
      </c>
      <c r="T207" s="13">
        <f t="shared" si="29"/>
        <v>0</v>
      </c>
      <c r="U207" s="13">
        <f t="shared" si="30"/>
        <v>0</v>
      </c>
      <c r="V207" s="13">
        <f t="shared" si="31"/>
        <v>0</v>
      </c>
    </row>
    <row r="208" spans="1:22" ht="60" customHeight="1" x14ac:dyDescent="0.3">
      <c r="A208" s="9"/>
      <c r="B208" s="76" t="str">
        <f t="shared" ref="B208:B215" si="32">HYPERLINK(CONCATENATE("https://pim.edelman.nl/products/",D208,"/",D208,"01",".jpg"),"Click here")</f>
        <v>Click here</v>
      </c>
      <c r="C208" s="12"/>
      <c r="D208" s="34"/>
      <c r="E208" s="14"/>
      <c r="F208" s="13"/>
      <c r="G208" s="14"/>
      <c r="H208" s="11"/>
      <c r="I208" s="11"/>
      <c r="J208" s="14"/>
      <c r="K208" s="15"/>
      <c r="L208" s="15"/>
      <c r="M208" s="35"/>
      <c r="N208" s="13"/>
      <c r="O208" s="70"/>
      <c r="P208" s="18"/>
      <c r="Q208" s="13">
        <f t="shared" ref="Q208:Q215" si="33">P208*N208</f>
        <v>0</v>
      </c>
      <c r="R208" s="11">
        <f t="shared" si="27"/>
        <v>0</v>
      </c>
      <c r="S208" s="13">
        <f t="shared" si="28"/>
        <v>0</v>
      </c>
      <c r="T208" s="13">
        <f t="shared" si="29"/>
        <v>0</v>
      </c>
      <c r="U208" s="13">
        <f t="shared" si="30"/>
        <v>0</v>
      </c>
      <c r="V208" s="13">
        <f t="shared" si="31"/>
        <v>0</v>
      </c>
    </row>
    <row r="209" spans="1:22" ht="60" customHeight="1" x14ac:dyDescent="0.3">
      <c r="A209" s="9"/>
      <c r="B209" s="76" t="str">
        <f t="shared" si="32"/>
        <v>Click here</v>
      </c>
      <c r="C209" s="12"/>
      <c r="D209" s="34"/>
      <c r="E209" s="14"/>
      <c r="F209" s="13"/>
      <c r="G209" s="14"/>
      <c r="H209" s="11"/>
      <c r="I209" s="11"/>
      <c r="J209" s="14"/>
      <c r="K209" s="15"/>
      <c r="L209" s="15"/>
      <c r="M209" s="35"/>
      <c r="N209" s="13"/>
      <c r="O209" s="70"/>
      <c r="P209" s="18"/>
      <c r="Q209" s="13">
        <f t="shared" si="33"/>
        <v>0</v>
      </c>
      <c r="R209" s="11">
        <f t="shared" si="27"/>
        <v>0</v>
      </c>
      <c r="S209" s="13">
        <f t="shared" si="28"/>
        <v>0</v>
      </c>
      <c r="T209" s="13">
        <f t="shared" si="29"/>
        <v>0</v>
      </c>
      <c r="U209" s="13">
        <f t="shared" si="30"/>
        <v>0</v>
      </c>
      <c r="V209" s="13">
        <f t="shared" si="31"/>
        <v>0</v>
      </c>
    </row>
    <row r="210" spans="1:22" ht="60" customHeight="1" x14ac:dyDescent="0.3">
      <c r="A210" s="9"/>
      <c r="B210" s="76" t="str">
        <f t="shared" si="32"/>
        <v>Click here</v>
      </c>
      <c r="C210" s="12"/>
      <c r="D210" s="34"/>
      <c r="E210" s="14"/>
      <c r="F210" s="13"/>
      <c r="G210" s="14"/>
      <c r="H210" s="11"/>
      <c r="I210" s="11"/>
      <c r="J210" s="14"/>
      <c r="K210" s="15"/>
      <c r="L210" s="15"/>
      <c r="M210" s="35"/>
      <c r="N210" s="13"/>
      <c r="O210" s="70"/>
      <c r="P210" s="18"/>
      <c r="Q210" s="13">
        <f t="shared" si="33"/>
        <v>0</v>
      </c>
      <c r="R210" s="11">
        <f t="shared" si="27"/>
        <v>0</v>
      </c>
      <c r="S210" s="13">
        <f t="shared" si="28"/>
        <v>0</v>
      </c>
      <c r="T210" s="13">
        <f t="shared" si="29"/>
        <v>0</v>
      </c>
      <c r="U210" s="13">
        <f t="shared" si="30"/>
        <v>0</v>
      </c>
      <c r="V210" s="13">
        <f t="shared" si="31"/>
        <v>0</v>
      </c>
    </row>
    <row r="211" spans="1:22" ht="60" customHeight="1" x14ac:dyDescent="0.3">
      <c r="A211" s="9"/>
      <c r="B211" s="76" t="str">
        <f t="shared" si="32"/>
        <v>Click here</v>
      </c>
      <c r="C211" s="12"/>
      <c r="D211" s="34"/>
      <c r="E211" s="14"/>
      <c r="F211" s="13"/>
      <c r="G211" s="14"/>
      <c r="H211" s="11"/>
      <c r="I211" s="11"/>
      <c r="J211" s="14"/>
      <c r="K211" s="15"/>
      <c r="L211" s="15"/>
      <c r="M211" s="35"/>
      <c r="N211" s="13"/>
      <c r="O211" s="70"/>
      <c r="P211" s="18"/>
      <c r="Q211" s="13">
        <f t="shared" si="33"/>
        <v>0</v>
      </c>
      <c r="R211" s="11">
        <f t="shared" si="27"/>
        <v>0</v>
      </c>
      <c r="S211" s="13">
        <f t="shared" si="28"/>
        <v>0</v>
      </c>
      <c r="T211" s="13">
        <f t="shared" si="29"/>
        <v>0</v>
      </c>
      <c r="U211" s="13">
        <f t="shared" si="30"/>
        <v>0</v>
      </c>
      <c r="V211" s="13">
        <f t="shared" si="31"/>
        <v>0</v>
      </c>
    </row>
    <row r="212" spans="1:22" ht="60" customHeight="1" x14ac:dyDescent="0.3">
      <c r="A212" s="9"/>
      <c r="B212" s="76" t="str">
        <f t="shared" si="32"/>
        <v>Click here</v>
      </c>
      <c r="C212" s="12"/>
      <c r="D212" s="34"/>
      <c r="E212" s="14"/>
      <c r="F212" s="13"/>
      <c r="G212" s="14"/>
      <c r="H212" s="11"/>
      <c r="I212" s="11"/>
      <c r="J212" s="14"/>
      <c r="K212" s="15"/>
      <c r="L212" s="15"/>
      <c r="M212" s="35"/>
      <c r="N212" s="13"/>
      <c r="O212" s="70"/>
      <c r="P212" s="18"/>
      <c r="Q212" s="13">
        <f t="shared" si="33"/>
        <v>0</v>
      </c>
      <c r="R212" s="11">
        <f t="shared" si="27"/>
        <v>0</v>
      </c>
      <c r="S212" s="13">
        <f t="shared" si="28"/>
        <v>0</v>
      </c>
      <c r="T212" s="13">
        <f t="shared" si="29"/>
        <v>0</v>
      </c>
      <c r="U212" s="13">
        <f t="shared" si="30"/>
        <v>0</v>
      </c>
      <c r="V212" s="13">
        <f t="shared" si="31"/>
        <v>0</v>
      </c>
    </row>
    <row r="213" spans="1:22" ht="60" customHeight="1" x14ac:dyDescent="0.3">
      <c r="A213" s="9"/>
      <c r="B213" s="76" t="str">
        <f t="shared" si="32"/>
        <v>Click here</v>
      </c>
      <c r="C213" s="12"/>
      <c r="D213" s="34"/>
      <c r="E213" s="14"/>
      <c r="F213" s="13"/>
      <c r="G213" s="14"/>
      <c r="H213" s="11"/>
      <c r="I213" s="11"/>
      <c r="J213" s="14"/>
      <c r="K213" s="15"/>
      <c r="L213" s="15"/>
      <c r="M213" s="35"/>
      <c r="N213" s="13"/>
      <c r="O213" s="70"/>
      <c r="P213" s="18"/>
      <c r="Q213" s="13">
        <f t="shared" si="33"/>
        <v>0</v>
      </c>
      <c r="R213" s="11">
        <f t="shared" si="27"/>
        <v>0</v>
      </c>
      <c r="S213" s="13">
        <f t="shared" si="28"/>
        <v>0</v>
      </c>
      <c r="T213" s="13">
        <f t="shared" si="29"/>
        <v>0</v>
      </c>
      <c r="U213" s="13">
        <f t="shared" si="30"/>
        <v>0</v>
      </c>
      <c r="V213" s="13">
        <f t="shared" si="31"/>
        <v>0</v>
      </c>
    </row>
    <row r="214" spans="1:22" ht="60" customHeight="1" x14ac:dyDescent="0.3">
      <c r="A214" s="9"/>
      <c r="B214" s="76" t="str">
        <f t="shared" si="32"/>
        <v>Click here</v>
      </c>
      <c r="C214" s="12"/>
      <c r="D214" s="34"/>
      <c r="E214" s="14"/>
      <c r="F214" s="13"/>
      <c r="G214" s="14"/>
      <c r="H214" s="11"/>
      <c r="I214" s="11"/>
      <c r="J214" s="14"/>
      <c r="K214" s="15"/>
      <c r="L214" s="15"/>
      <c r="M214" s="35"/>
      <c r="N214" s="13"/>
      <c r="O214" s="70"/>
      <c r="P214" s="18"/>
      <c r="Q214" s="13">
        <f t="shared" si="33"/>
        <v>0</v>
      </c>
      <c r="R214" s="11">
        <f t="shared" si="27"/>
        <v>0</v>
      </c>
      <c r="S214" s="13">
        <f t="shared" si="28"/>
        <v>0</v>
      </c>
      <c r="T214" s="13">
        <f t="shared" si="29"/>
        <v>0</v>
      </c>
      <c r="U214" s="13">
        <f t="shared" si="30"/>
        <v>0</v>
      </c>
      <c r="V214" s="13">
        <f t="shared" si="31"/>
        <v>0</v>
      </c>
    </row>
    <row r="215" spans="1:22" ht="60" customHeight="1" x14ac:dyDescent="0.3">
      <c r="A215" s="9"/>
      <c r="B215" s="76" t="str">
        <f t="shared" si="32"/>
        <v>Click here</v>
      </c>
      <c r="C215" s="12"/>
      <c r="D215" s="34"/>
      <c r="E215" s="14"/>
      <c r="F215" s="13"/>
      <c r="G215" s="14"/>
      <c r="H215" s="11"/>
      <c r="I215" s="11"/>
      <c r="J215" s="14"/>
      <c r="K215" s="15"/>
      <c r="L215" s="15"/>
      <c r="M215" s="35"/>
      <c r="N215" s="13"/>
      <c r="O215" s="70"/>
      <c r="P215" s="18"/>
      <c r="Q215" s="13">
        <f t="shared" si="33"/>
        <v>0</v>
      </c>
      <c r="R215" s="11">
        <f t="shared" si="27"/>
        <v>0</v>
      </c>
      <c r="S215" s="13">
        <f t="shared" si="28"/>
        <v>0</v>
      </c>
      <c r="T215" s="13">
        <f t="shared" si="29"/>
        <v>0</v>
      </c>
      <c r="U215" s="13">
        <f t="shared" si="30"/>
        <v>0</v>
      </c>
      <c r="V215" s="13">
        <f t="shared" si="31"/>
        <v>0</v>
      </c>
    </row>
    <row r="216" spans="1:22" ht="15" customHeight="1" x14ac:dyDescent="0.25">
      <c r="Q216" s="21"/>
      <c r="R216" s="49"/>
      <c r="S216" s="21"/>
      <c r="T216" s="21"/>
    </row>
    <row r="217" spans="1:22" ht="15" customHeight="1" x14ac:dyDescent="0.25">
      <c r="Q217" s="21"/>
      <c r="R217" s="49"/>
      <c r="S217" s="21"/>
      <c r="T217" s="21"/>
    </row>
    <row r="218" spans="1:22" ht="15" customHeight="1" x14ac:dyDescent="0.25">
      <c r="Q218" s="21"/>
      <c r="R218" s="49"/>
      <c r="S218" s="21"/>
      <c r="T218" s="21"/>
    </row>
    <row r="219" spans="1:22" ht="15" customHeight="1" x14ac:dyDescent="0.25">
      <c r="Q219" s="21"/>
      <c r="R219" s="49"/>
      <c r="S219" s="21"/>
      <c r="T219" s="21"/>
    </row>
    <row r="220" spans="1:22" ht="15" customHeight="1" x14ac:dyDescent="0.25">
      <c r="Q220" s="21"/>
      <c r="R220" s="49"/>
      <c r="S220" s="21"/>
      <c r="T220" s="21"/>
    </row>
    <row r="221" spans="1:22" ht="15" customHeight="1" x14ac:dyDescent="0.25">
      <c r="Q221" s="21"/>
      <c r="R221" s="49"/>
      <c r="S221" s="21"/>
      <c r="T221" s="21"/>
    </row>
    <row r="222" spans="1:22" ht="15" customHeight="1" x14ac:dyDescent="0.25">
      <c r="Q222" s="21"/>
      <c r="R222" s="49"/>
      <c r="S222" s="21"/>
      <c r="T222" s="21"/>
    </row>
    <row r="223" spans="1:22" ht="15" customHeight="1" x14ac:dyDescent="0.25">
      <c r="Q223" s="21"/>
      <c r="R223" s="49"/>
      <c r="S223" s="21"/>
      <c r="T223" s="21"/>
    </row>
    <row r="224" spans="1:22" ht="15" customHeight="1" x14ac:dyDescent="0.25">
      <c r="Q224" s="21"/>
      <c r="R224" s="49"/>
      <c r="S224" s="21"/>
      <c r="T224" s="21"/>
    </row>
    <row r="225" spans="17:20" ht="15" customHeight="1" x14ac:dyDescent="0.25">
      <c r="Q225" s="21"/>
      <c r="R225" s="49"/>
      <c r="S225" s="21"/>
      <c r="T225" s="21"/>
    </row>
    <row r="226" spans="17:20" ht="15" customHeight="1" x14ac:dyDescent="0.25">
      <c r="Q226" s="21"/>
      <c r="R226" s="49"/>
      <c r="S226" s="21"/>
      <c r="T226" s="21"/>
    </row>
    <row r="227" spans="17:20" ht="15" customHeight="1" x14ac:dyDescent="0.25">
      <c r="Q227" s="21"/>
      <c r="R227" s="49"/>
      <c r="S227" s="21"/>
      <c r="T227" s="21"/>
    </row>
    <row r="228" spans="17:20" ht="15" customHeight="1" x14ac:dyDescent="0.25">
      <c r="Q228" s="21"/>
      <c r="R228" s="49"/>
      <c r="S228" s="21"/>
      <c r="T228" s="21"/>
    </row>
    <row r="229" spans="17:20" ht="15" customHeight="1" x14ac:dyDescent="0.25">
      <c r="Q229" s="21"/>
      <c r="R229" s="49"/>
      <c r="S229" s="21"/>
      <c r="T229" s="21"/>
    </row>
    <row r="230" spans="17:20" ht="15" customHeight="1" x14ac:dyDescent="0.25">
      <c r="Q230" s="21"/>
      <c r="R230" s="49"/>
      <c r="S230" s="21"/>
      <c r="T230" s="21"/>
    </row>
    <row r="231" spans="17:20" ht="15" customHeight="1" x14ac:dyDescent="0.25">
      <c r="Q231" s="21"/>
      <c r="R231" s="49"/>
      <c r="S231" s="21"/>
      <c r="T231" s="21"/>
    </row>
    <row r="232" spans="17:20" ht="15" customHeight="1" x14ac:dyDescent="0.25">
      <c r="Q232" s="21"/>
      <c r="R232" s="49"/>
      <c r="S232" s="21"/>
      <c r="T232" s="21"/>
    </row>
    <row r="233" spans="17:20" ht="15" customHeight="1" x14ac:dyDescent="0.25">
      <c r="Q233" s="21"/>
      <c r="R233" s="49"/>
      <c r="S233" s="21"/>
      <c r="T233" s="21"/>
    </row>
    <row r="234" spans="17:20" ht="15" customHeight="1" x14ac:dyDescent="0.25">
      <c r="Q234" s="21"/>
      <c r="R234" s="49"/>
      <c r="S234" s="21"/>
      <c r="T234" s="21"/>
    </row>
    <row r="235" spans="17:20" ht="15" customHeight="1" x14ac:dyDescent="0.25">
      <c r="Q235" s="21"/>
      <c r="R235" s="49"/>
      <c r="S235" s="21"/>
      <c r="T235" s="21"/>
    </row>
    <row r="236" spans="17:20" ht="15" customHeight="1" x14ac:dyDescent="0.25">
      <c r="Q236" s="21"/>
      <c r="R236" s="49"/>
      <c r="S236" s="21"/>
      <c r="T236" s="21"/>
    </row>
    <row r="237" spans="17:20" ht="15" customHeight="1" x14ac:dyDescent="0.25">
      <c r="Q237" s="21"/>
      <c r="R237" s="49"/>
      <c r="S237" s="21"/>
      <c r="T237" s="21"/>
    </row>
    <row r="238" spans="17:20" ht="15" customHeight="1" x14ac:dyDescent="0.25">
      <c r="Q238" s="21"/>
      <c r="R238" s="49"/>
      <c r="S238" s="21"/>
      <c r="T238" s="21"/>
    </row>
    <row r="239" spans="17:20" ht="15" customHeight="1" x14ac:dyDescent="0.25">
      <c r="Q239" s="21"/>
      <c r="R239" s="49"/>
      <c r="S239" s="21"/>
      <c r="T239" s="21"/>
    </row>
    <row r="240" spans="17:20" ht="15" customHeight="1" x14ac:dyDescent="0.25">
      <c r="Q240" s="21"/>
      <c r="R240" s="49"/>
      <c r="S240" s="21"/>
      <c r="T240" s="21"/>
    </row>
    <row r="241" spans="17:20" ht="15" customHeight="1" x14ac:dyDescent="0.25">
      <c r="Q241" s="21"/>
      <c r="R241" s="49"/>
      <c r="S241" s="21"/>
      <c r="T241" s="21"/>
    </row>
    <row r="242" spans="17:20" ht="15" customHeight="1" x14ac:dyDescent="0.25">
      <c r="Q242" s="21"/>
      <c r="R242" s="49"/>
      <c r="S242" s="21"/>
      <c r="T242" s="21"/>
    </row>
    <row r="243" spans="17:20" ht="15" customHeight="1" x14ac:dyDescent="0.25">
      <c r="Q243" s="21"/>
      <c r="R243" s="49"/>
      <c r="S243" s="21"/>
      <c r="T243" s="21"/>
    </row>
    <row r="244" spans="17:20" ht="15" customHeight="1" x14ac:dyDescent="0.25">
      <c r="Q244" s="21"/>
      <c r="R244" s="49"/>
      <c r="S244" s="21"/>
      <c r="T244" s="21"/>
    </row>
    <row r="245" spans="17:20" ht="15" customHeight="1" x14ac:dyDescent="0.25">
      <c r="Q245" s="21"/>
      <c r="R245" s="49"/>
      <c r="S245" s="21"/>
      <c r="T245" s="21"/>
    </row>
    <row r="246" spans="17:20" ht="15" customHeight="1" x14ac:dyDescent="0.25">
      <c r="Q246" s="21"/>
      <c r="R246" s="49"/>
      <c r="S246" s="21"/>
      <c r="T246" s="21"/>
    </row>
    <row r="247" spans="17:20" ht="15" customHeight="1" x14ac:dyDescent="0.25">
      <c r="Q247" s="21"/>
      <c r="R247" s="49"/>
      <c r="S247" s="21"/>
      <c r="T247" s="21"/>
    </row>
    <row r="248" spans="17:20" ht="15" customHeight="1" x14ac:dyDescent="0.25">
      <c r="Q248" s="21"/>
      <c r="R248" s="49"/>
      <c r="S248" s="21"/>
      <c r="T248" s="21"/>
    </row>
    <row r="249" spans="17:20" ht="15" customHeight="1" x14ac:dyDescent="0.25">
      <c r="Q249" s="21"/>
      <c r="R249" s="49"/>
      <c r="S249" s="21"/>
      <c r="T249" s="21"/>
    </row>
    <row r="250" spans="17:20" ht="15" customHeight="1" x14ac:dyDescent="0.25">
      <c r="Q250" s="21"/>
      <c r="R250" s="49"/>
      <c r="S250" s="21"/>
      <c r="T250" s="21"/>
    </row>
    <row r="251" spans="17:20" ht="15" customHeight="1" x14ac:dyDescent="0.25">
      <c r="Q251" s="21"/>
      <c r="R251" s="49"/>
      <c r="S251" s="21"/>
      <c r="T251" s="21"/>
    </row>
    <row r="252" spans="17:20" ht="15" customHeight="1" x14ac:dyDescent="0.25">
      <c r="Q252" s="21"/>
      <c r="R252" s="49"/>
      <c r="S252" s="21"/>
      <c r="T252" s="21"/>
    </row>
    <row r="253" spans="17:20" ht="15" customHeight="1" x14ac:dyDescent="0.25">
      <c r="Q253" s="21"/>
      <c r="R253" s="49"/>
      <c r="S253" s="21"/>
      <c r="T253" s="21"/>
    </row>
    <row r="254" spans="17:20" ht="15" customHeight="1" x14ac:dyDescent="0.25">
      <c r="Q254" s="21"/>
      <c r="R254" s="49"/>
      <c r="S254" s="21"/>
      <c r="T254" s="21"/>
    </row>
    <row r="255" spans="17:20" ht="15" customHeight="1" x14ac:dyDescent="0.25">
      <c r="Q255" s="21"/>
      <c r="R255" s="49"/>
      <c r="S255" s="21"/>
      <c r="T255" s="21"/>
    </row>
    <row r="256" spans="17:20" ht="15" customHeight="1" x14ac:dyDescent="0.25">
      <c r="Q256" s="21"/>
      <c r="R256" s="49"/>
      <c r="S256" s="21"/>
      <c r="T256" s="21"/>
    </row>
    <row r="257" spans="17:20" ht="15" customHeight="1" x14ac:dyDescent="0.25">
      <c r="Q257" s="21"/>
      <c r="R257" s="49"/>
      <c r="S257" s="21"/>
      <c r="T257" s="21"/>
    </row>
    <row r="258" spans="17:20" ht="15" customHeight="1" x14ac:dyDescent="0.25">
      <c r="Q258" s="21"/>
      <c r="R258" s="49"/>
      <c r="S258" s="21"/>
      <c r="T258" s="21"/>
    </row>
    <row r="259" spans="17:20" ht="15" customHeight="1" x14ac:dyDescent="0.25">
      <c r="Q259" s="21"/>
      <c r="R259" s="49"/>
      <c r="S259" s="21"/>
      <c r="T259" s="21"/>
    </row>
    <row r="260" spans="17:20" ht="15" customHeight="1" x14ac:dyDescent="0.25">
      <c r="Q260" s="21"/>
      <c r="R260" s="49"/>
      <c r="S260" s="21"/>
      <c r="T260" s="21"/>
    </row>
    <row r="261" spans="17:20" ht="15" customHeight="1" x14ac:dyDescent="0.25">
      <c r="Q261" s="21"/>
      <c r="R261" s="49"/>
      <c r="S261" s="21"/>
      <c r="T261" s="21"/>
    </row>
    <row r="262" spans="17:20" ht="15" customHeight="1" x14ac:dyDescent="0.25">
      <c r="Q262" s="21"/>
      <c r="R262" s="49"/>
      <c r="S262" s="21"/>
      <c r="T262" s="21"/>
    </row>
    <row r="263" spans="17:20" ht="15" customHeight="1" x14ac:dyDescent="0.25">
      <c r="Q263" s="21"/>
      <c r="R263" s="49"/>
      <c r="S263" s="21"/>
      <c r="T263" s="21"/>
    </row>
    <row r="264" spans="17:20" ht="15" customHeight="1" x14ac:dyDescent="0.25">
      <c r="Q264" s="21"/>
      <c r="R264" s="49"/>
      <c r="S264" s="21"/>
      <c r="T264" s="21"/>
    </row>
    <row r="265" spans="17:20" ht="15" customHeight="1" x14ac:dyDescent="0.25">
      <c r="Q265" s="21"/>
      <c r="R265" s="49"/>
      <c r="S265" s="21"/>
      <c r="T265" s="21"/>
    </row>
    <row r="266" spans="17:20" ht="15" customHeight="1" x14ac:dyDescent="0.25">
      <c r="Q266" s="21"/>
      <c r="R266" s="49"/>
      <c r="S266" s="21"/>
      <c r="T266" s="21"/>
    </row>
    <row r="267" spans="17:20" ht="15" customHeight="1" x14ac:dyDescent="0.25">
      <c r="Q267" s="21"/>
      <c r="R267" s="49"/>
      <c r="S267" s="21"/>
      <c r="T267" s="21"/>
    </row>
    <row r="268" spans="17:20" ht="15" customHeight="1" x14ac:dyDescent="0.25">
      <c r="Q268" s="21"/>
      <c r="R268" s="49"/>
      <c r="S268" s="21"/>
      <c r="T268" s="21"/>
    </row>
    <row r="269" spans="17:20" ht="15" customHeight="1" x14ac:dyDescent="0.25">
      <c r="Q269" s="21"/>
      <c r="R269" s="49"/>
      <c r="S269" s="21"/>
      <c r="T269" s="21"/>
    </row>
    <row r="270" spans="17:20" ht="15" customHeight="1" x14ac:dyDescent="0.25">
      <c r="Q270" s="21"/>
      <c r="R270" s="49"/>
      <c r="S270" s="21"/>
      <c r="T270" s="21"/>
    </row>
    <row r="271" spans="17:20" ht="15" customHeight="1" x14ac:dyDescent="0.25">
      <c r="Q271" s="21"/>
      <c r="R271" s="49"/>
      <c r="S271" s="21"/>
      <c r="T271" s="21"/>
    </row>
    <row r="272" spans="17:20" ht="15" customHeight="1" x14ac:dyDescent="0.25">
      <c r="Q272" s="21"/>
      <c r="R272" s="49"/>
      <c r="S272" s="21"/>
      <c r="T272" s="21"/>
    </row>
    <row r="273" spans="17:20" ht="15" customHeight="1" x14ac:dyDescent="0.25">
      <c r="Q273" s="21"/>
      <c r="R273" s="49"/>
      <c r="S273" s="21"/>
      <c r="T273" s="21"/>
    </row>
    <row r="274" spans="17:20" ht="15" customHeight="1" x14ac:dyDescent="0.25">
      <c r="Q274" s="21"/>
      <c r="R274" s="49"/>
      <c r="S274" s="21"/>
      <c r="T274" s="21"/>
    </row>
    <row r="275" spans="17:20" ht="15" customHeight="1" x14ac:dyDescent="0.25">
      <c r="Q275" s="21"/>
      <c r="R275" s="49"/>
      <c r="S275" s="21"/>
      <c r="T275" s="21"/>
    </row>
    <row r="276" spans="17:20" ht="15" customHeight="1" x14ac:dyDescent="0.25">
      <c r="Q276" s="21"/>
      <c r="R276" s="49"/>
      <c r="S276" s="21"/>
      <c r="T276" s="21"/>
    </row>
    <row r="277" spans="17:20" ht="15" customHeight="1" x14ac:dyDescent="0.25">
      <c r="Q277" s="21"/>
      <c r="R277" s="49"/>
      <c r="S277" s="21"/>
      <c r="T277" s="21"/>
    </row>
    <row r="278" spans="17:20" ht="15" customHeight="1" x14ac:dyDescent="0.25">
      <c r="Q278" s="21"/>
      <c r="R278" s="49"/>
      <c r="S278" s="21"/>
      <c r="T278" s="21"/>
    </row>
    <row r="279" spans="17:20" ht="15" customHeight="1" x14ac:dyDescent="0.25">
      <c r="Q279" s="21"/>
      <c r="R279" s="49"/>
      <c r="S279" s="21"/>
      <c r="T279" s="21"/>
    </row>
    <row r="280" spans="17:20" ht="15" customHeight="1" x14ac:dyDescent="0.25">
      <c r="Q280" s="21"/>
      <c r="R280" s="49"/>
      <c r="S280" s="21"/>
      <c r="T280" s="21"/>
    </row>
    <row r="281" spans="17:20" ht="15" customHeight="1" x14ac:dyDescent="0.25">
      <c r="Q281" s="21"/>
      <c r="R281" s="49"/>
      <c r="S281" s="21"/>
      <c r="T281" s="21"/>
    </row>
    <row r="282" spans="17:20" ht="15" customHeight="1" x14ac:dyDescent="0.25">
      <c r="Q282" s="21"/>
      <c r="R282" s="49"/>
      <c r="S282" s="21"/>
      <c r="T282" s="21"/>
    </row>
    <row r="283" spans="17:20" ht="15" customHeight="1" x14ac:dyDescent="0.25">
      <c r="Q283" s="21"/>
      <c r="R283" s="49"/>
      <c r="S283" s="21"/>
      <c r="T283" s="21"/>
    </row>
    <row r="284" spans="17:20" ht="15" customHeight="1" x14ac:dyDescent="0.25">
      <c r="Q284" s="21"/>
      <c r="R284" s="49"/>
      <c r="S284" s="21"/>
      <c r="T284" s="21"/>
    </row>
    <row r="285" spans="17:20" ht="15" customHeight="1" x14ac:dyDescent="0.25">
      <c r="Q285" s="21"/>
      <c r="R285" s="49"/>
      <c r="S285" s="21"/>
      <c r="T285" s="21"/>
    </row>
    <row r="286" spans="17:20" ht="15" customHeight="1" x14ac:dyDescent="0.25">
      <c r="Q286" s="21"/>
      <c r="R286" s="49"/>
      <c r="S286" s="21"/>
      <c r="T286" s="21"/>
    </row>
    <row r="287" spans="17:20" ht="15" customHeight="1" x14ac:dyDescent="0.25">
      <c r="Q287" s="21"/>
      <c r="R287" s="49"/>
      <c r="S287" s="21"/>
      <c r="T287" s="21"/>
    </row>
    <row r="288" spans="17:20" ht="15" customHeight="1" x14ac:dyDescent="0.25">
      <c r="Q288" s="21"/>
      <c r="R288" s="49"/>
      <c r="S288" s="21"/>
      <c r="T288" s="21"/>
    </row>
    <row r="289" spans="17:20" ht="15" customHeight="1" x14ac:dyDescent="0.25">
      <c r="Q289" s="21"/>
      <c r="R289" s="49"/>
      <c r="S289" s="21"/>
      <c r="T289" s="21"/>
    </row>
    <row r="290" spans="17:20" ht="15" customHeight="1" x14ac:dyDescent="0.25">
      <c r="Q290" s="21"/>
      <c r="R290" s="49"/>
      <c r="S290" s="21"/>
      <c r="T290" s="21"/>
    </row>
    <row r="291" spans="17:20" ht="15" customHeight="1" x14ac:dyDescent="0.25">
      <c r="Q291" s="21"/>
      <c r="R291" s="49"/>
      <c r="S291" s="21"/>
      <c r="T291" s="21"/>
    </row>
    <row r="292" spans="17:20" ht="15" customHeight="1" x14ac:dyDescent="0.25">
      <c r="Q292" s="21"/>
      <c r="R292" s="49"/>
      <c r="S292" s="21"/>
      <c r="T292" s="21"/>
    </row>
    <row r="293" spans="17:20" ht="15" customHeight="1" x14ac:dyDescent="0.25">
      <c r="Q293" s="21"/>
      <c r="R293" s="49"/>
      <c r="S293" s="21"/>
      <c r="T293" s="21"/>
    </row>
    <row r="294" spans="17:20" ht="15" customHeight="1" x14ac:dyDescent="0.25">
      <c r="Q294" s="21"/>
      <c r="R294" s="49"/>
      <c r="S294" s="21"/>
      <c r="T294" s="21"/>
    </row>
    <row r="295" spans="17:20" ht="15" customHeight="1" x14ac:dyDescent="0.25">
      <c r="Q295" s="21"/>
      <c r="R295" s="49"/>
      <c r="S295" s="21"/>
      <c r="T295" s="21"/>
    </row>
    <row r="296" spans="17:20" ht="15" customHeight="1" x14ac:dyDescent="0.25">
      <c r="Q296" s="21"/>
      <c r="R296" s="49"/>
      <c r="S296" s="21"/>
      <c r="T296" s="21"/>
    </row>
    <row r="297" spans="17:20" ht="15" customHeight="1" x14ac:dyDescent="0.25">
      <c r="Q297" s="21"/>
      <c r="R297" s="49"/>
      <c r="S297" s="21"/>
      <c r="T297" s="21"/>
    </row>
    <row r="298" spans="17:20" ht="15" customHeight="1" x14ac:dyDescent="0.25">
      <c r="Q298" s="21"/>
      <c r="R298" s="49"/>
      <c r="S298" s="21"/>
      <c r="T298" s="21"/>
    </row>
    <row r="299" spans="17:20" ht="15" customHeight="1" x14ac:dyDescent="0.25">
      <c r="Q299" s="21"/>
      <c r="R299" s="49"/>
      <c r="S299" s="21"/>
      <c r="T299" s="21"/>
    </row>
    <row r="300" spans="17:20" ht="15" customHeight="1" x14ac:dyDescent="0.25">
      <c r="Q300" s="21"/>
      <c r="R300" s="49"/>
      <c r="S300" s="21"/>
      <c r="T300" s="21"/>
    </row>
    <row r="301" spans="17:20" ht="15" customHeight="1" x14ac:dyDescent="0.25">
      <c r="Q301" s="21"/>
      <c r="R301" s="49"/>
      <c r="S301" s="21"/>
      <c r="T301" s="21"/>
    </row>
    <row r="302" spans="17:20" ht="15" customHeight="1" x14ac:dyDescent="0.25">
      <c r="Q302" s="21"/>
      <c r="R302" s="49"/>
      <c r="S302" s="21"/>
      <c r="T302" s="21"/>
    </row>
    <row r="303" spans="17:20" ht="15" customHeight="1" x14ac:dyDescent="0.25">
      <c r="Q303" s="21"/>
      <c r="R303" s="49"/>
      <c r="S303" s="21"/>
      <c r="T303" s="21"/>
    </row>
    <row r="304" spans="17:20" ht="15" customHeight="1" x14ac:dyDescent="0.25">
      <c r="Q304" s="21"/>
      <c r="R304" s="49"/>
      <c r="S304" s="21"/>
      <c r="T304" s="21"/>
    </row>
    <row r="305" spans="17:20" ht="15" customHeight="1" x14ac:dyDescent="0.25">
      <c r="Q305" s="21"/>
      <c r="R305" s="49"/>
      <c r="S305" s="21"/>
      <c r="T305" s="21"/>
    </row>
    <row r="306" spans="17:20" ht="15" customHeight="1" x14ac:dyDescent="0.25">
      <c r="Q306" s="21"/>
      <c r="R306" s="49"/>
      <c r="S306" s="21"/>
      <c r="T306" s="21"/>
    </row>
    <row r="307" spans="17:20" ht="15" customHeight="1" x14ac:dyDescent="0.25">
      <c r="Q307" s="21"/>
      <c r="R307" s="49"/>
      <c r="S307" s="21"/>
      <c r="T307" s="21"/>
    </row>
    <row r="308" spans="17:20" ht="15" customHeight="1" x14ac:dyDescent="0.25">
      <c r="Q308" s="21"/>
      <c r="R308" s="49"/>
      <c r="S308" s="21"/>
      <c r="T308" s="21"/>
    </row>
    <row r="309" spans="17:20" ht="15" customHeight="1" x14ac:dyDescent="0.25">
      <c r="Q309" s="21"/>
      <c r="R309" s="49"/>
      <c r="S309" s="21"/>
      <c r="T309" s="21"/>
    </row>
    <row r="310" spans="17:20" ht="15" customHeight="1" x14ac:dyDescent="0.25">
      <c r="Q310" s="21"/>
      <c r="R310" s="49"/>
      <c r="S310" s="21"/>
      <c r="T310" s="21"/>
    </row>
    <row r="311" spans="17:20" ht="15" customHeight="1" x14ac:dyDescent="0.25">
      <c r="Q311" s="21"/>
      <c r="R311" s="49"/>
      <c r="S311" s="21"/>
      <c r="T311" s="21"/>
    </row>
    <row r="312" spans="17:20" ht="15" customHeight="1" x14ac:dyDescent="0.25">
      <c r="Q312" s="21"/>
      <c r="R312" s="49"/>
      <c r="S312" s="21"/>
      <c r="T312" s="21"/>
    </row>
    <row r="313" spans="17:20" ht="15" customHeight="1" x14ac:dyDescent="0.25">
      <c r="Q313" s="21"/>
      <c r="R313" s="49"/>
      <c r="S313" s="21"/>
      <c r="T313" s="21"/>
    </row>
    <row r="314" spans="17:20" ht="15" customHeight="1" x14ac:dyDescent="0.25">
      <c r="Q314" s="21"/>
      <c r="R314" s="49"/>
      <c r="S314" s="21"/>
      <c r="T314" s="21"/>
    </row>
    <row r="315" spans="17:20" ht="15" customHeight="1" x14ac:dyDescent="0.25">
      <c r="Q315" s="21"/>
      <c r="R315" s="49"/>
      <c r="S315" s="21"/>
      <c r="T315" s="21"/>
    </row>
    <row r="316" spans="17:20" ht="15" customHeight="1" x14ac:dyDescent="0.25">
      <c r="Q316" s="21"/>
      <c r="R316" s="49"/>
      <c r="S316" s="21"/>
      <c r="T316" s="21"/>
    </row>
    <row r="317" spans="17:20" ht="15" customHeight="1" x14ac:dyDescent="0.25">
      <c r="Q317" s="21"/>
      <c r="R317" s="49"/>
      <c r="S317" s="21"/>
      <c r="T317" s="21"/>
    </row>
    <row r="318" spans="17:20" ht="15" customHeight="1" x14ac:dyDescent="0.25">
      <c r="Q318" s="21"/>
      <c r="R318" s="49"/>
      <c r="S318" s="21"/>
      <c r="T318" s="21"/>
    </row>
    <row r="319" spans="17:20" ht="15" customHeight="1" x14ac:dyDescent="0.25">
      <c r="Q319" s="21"/>
      <c r="R319" s="49"/>
      <c r="S319" s="21"/>
      <c r="T319" s="21"/>
    </row>
    <row r="320" spans="17:20" ht="15" customHeight="1" x14ac:dyDescent="0.25">
      <c r="Q320" s="21"/>
      <c r="R320" s="49"/>
      <c r="S320" s="21"/>
      <c r="T320" s="21"/>
    </row>
    <row r="321" spans="17:20" ht="15" customHeight="1" x14ac:dyDescent="0.25">
      <c r="Q321" s="21"/>
      <c r="R321" s="49"/>
      <c r="S321" s="21"/>
      <c r="T321" s="21"/>
    </row>
    <row r="322" spans="17:20" ht="15" customHeight="1" x14ac:dyDescent="0.25">
      <c r="Q322" s="21"/>
      <c r="R322" s="49"/>
      <c r="S322" s="21"/>
      <c r="T322" s="21"/>
    </row>
    <row r="323" spans="17:20" ht="15" customHeight="1" x14ac:dyDescent="0.25">
      <c r="Q323" s="21"/>
      <c r="R323" s="49"/>
      <c r="S323" s="21"/>
      <c r="T323" s="21"/>
    </row>
    <row r="324" spans="17:20" ht="15" customHeight="1" x14ac:dyDescent="0.25">
      <c r="Q324" s="21"/>
      <c r="R324" s="49"/>
      <c r="S324" s="21"/>
      <c r="T324" s="21"/>
    </row>
    <row r="325" spans="17:20" ht="15" customHeight="1" x14ac:dyDescent="0.25">
      <c r="Q325" s="21"/>
      <c r="R325" s="49"/>
      <c r="S325" s="21"/>
      <c r="T325" s="21"/>
    </row>
    <row r="326" spans="17:20" ht="15" customHeight="1" x14ac:dyDescent="0.25">
      <c r="Q326" s="21"/>
      <c r="R326" s="49"/>
      <c r="S326" s="21"/>
      <c r="T326" s="21"/>
    </row>
    <row r="327" spans="17:20" ht="15" customHeight="1" x14ac:dyDescent="0.25">
      <c r="Q327" s="21"/>
      <c r="R327" s="49"/>
      <c r="S327" s="21"/>
      <c r="T327" s="21"/>
    </row>
    <row r="328" spans="17:20" ht="15" customHeight="1" x14ac:dyDescent="0.25">
      <c r="Q328" s="21"/>
      <c r="R328" s="49"/>
      <c r="S328" s="21"/>
      <c r="T328" s="21"/>
    </row>
    <row r="329" spans="17:20" ht="15" customHeight="1" x14ac:dyDescent="0.25">
      <c r="Q329" s="21"/>
      <c r="R329" s="49"/>
      <c r="S329" s="21"/>
      <c r="T329" s="21"/>
    </row>
    <row r="330" spans="17:20" ht="15" customHeight="1" x14ac:dyDescent="0.25">
      <c r="Q330" s="21"/>
      <c r="R330" s="49"/>
      <c r="S330" s="21"/>
      <c r="T330" s="21"/>
    </row>
    <row r="331" spans="17:20" ht="15" customHeight="1" x14ac:dyDescent="0.25">
      <c r="Q331" s="21"/>
      <c r="R331" s="49"/>
      <c r="S331" s="21"/>
      <c r="T331" s="21"/>
    </row>
    <row r="332" spans="17:20" ht="15" customHeight="1" x14ac:dyDescent="0.25">
      <c r="Q332" s="21"/>
      <c r="R332" s="49"/>
      <c r="S332" s="21"/>
      <c r="T332" s="21"/>
    </row>
    <row r="333" spans="17:20" ht="15" customHeight="1" x14ac:dyDescent="0.25">
      <c r="Q333" s="21"/>
      <c r="R333" s="49"/>
      <c r="S333" s="21"/>
      <c r="T333" s="21"/>
    </row>
    <row r="334" spans="17:20" ht="15" customHeight="1" x14ac:dyDescent="0.25">
      <c r="Q334" s="21"/>
      <c r="R334" s="49"/>
      <c r="S334" s="21"/>
      <c r="T334" s="21"/>
    </row>
    <row r="335" spans="17:20" ht="15" customHeight="1" x14ac:dyDescent="0.25">
      <c r="Q335" s="21"/>
      <c r="R335" s="49"/>
      <c r="S335" s="21"/>
      <c r="T335" s="21"/>
    </row>
    <row r="336" spans="17:20" ht="15" customHeight="1" x14ac:dyDescent="0.25">
      <c r="Q336" s="21"/>
      <c r="R336" s="49"/>
      <c r="S336" s="21"/>
      <c r="T336" s="21"/>
    </row>
    <row r="337" spans="17:20" ht="15" customHeight="1" x14ac:dyDescent="0.25">
      <c r="Q337" s="21"/>
      <c r="R337" s="49"/>
      <c r="S337" s="21"/>
      <c r="T337" s="21"/>
    </row>
    <row r="338" spans="17:20" ht="15" customHeight="1" x14ac:dyDescent="0.25">
      <c r="Q338" s="21"/>
      <c r="R338" s="49"/>
      <c r="S338" s="21"/>
      <c r="T338" s="21"/>
    </row>
    <row r="339" spans="17:20" ht="15" customHeight="1" x14ac:dyDescent="0.25">
      <c r="Q339" s="21"/>
      <c r="R339" s="49"/>
      <c r="S339" s="21"/>
      <c r="T339" s="21"/>
    </row>
    <row r="340" spans="17:20" ht="15" customHeight="1" x14ac:dyDescent="0.25">
      <c r="Q340" s="21"/>
      <c r="R340" s="49"/>
      <c r="S340" s="21"/>
      <c r="T340" s="21"/>
    </row>
    <row r="341" spans="17:20" ht="15" customHeight="1" x14ac:dyDescent="0.25">
      <c r="Q341" s="21"/>
      <c r="R341" s="49"/>
      <c r="S341" s="21"/>
      <c r="T341" s="21"/>
    </row>
    <row r="342" spans="17:20" ht="15" customHeight="1" x14ac:dyDescent="0.25">
      <c r="Q342" s="21"/>
      <c r="R342" s="49"/>
      <c r="S342" s="21"/>
      <c r="T342" s="21"/>
    </row>
    <row r="343" spans="17:20" ht="15" customHeight="1" x14ac:dyDescent="0.25">
      <c r="Q343" s="21"/>
      <c r="R343" s="49"/>
      <c r="S343" s="21"/>
      <c r="T343" s="21"/>
    </row>
    <row r="344" spans="17:20" ht="15" customHeight="1" x14ac:dyDescent="0.25">
      <c r="Q344" s="21"/>
      <c r="R344" s="49"/>
      <c r="S344" s="21"/>
      <c r="T344" s="21"/>
    </row>
    <row r="345" spans="17:20" ht="15" customHeight="1" x14ac:dyDescent="0.25">
      <c r="Q345" s="21"/>
      <c r="R345" s="49"/>
      <c r="S345" s="21"/>
      <c r="T345" s="21"/>
    </row>
    <row r="346" spans="17:20" ht="15" customHeight="1" x14ac:dyDescent="0.25">
      <c r="Q346" s="21"/>
      <c r="R346" s="49"/>
      <c r="S346" s="21"/>
      <c r="T346" s="21"/>
    </row>
    <row r="347" spans="17:20" ht="15" customHeight="1" x14ac:dyDescent="0.25">
      <c r="Q347" s="21"/>
      <c r="R347" s="49"/>
      <c r="S347" s="21"/>
      <c r="T347" s="21"/>
    </row>
    <row r="348" spans="17:20" ht="15" customHeight="1" x14ac:dyDescent="0.25">
      <c r="Q348" s="21"/>
      <c r="R348" s="49"/>
      <c r="S348" s="21"/>
      <c r="T348" s="21"/>
    </row>
    <row r="349" spans="17:20" ht="15" customHeight="1" x14ac:dyDescent="0.25">
      <c r="Q349" s="21"/>
      <c r="R349" s="49"/>
      <c r="S349" s="21"/>
      <c r="T349" s="21"/>
    </row>
    <row r="350" spans="17:20" ht="15" customHeight="1" x14ac:dyDescent="0.25">
      <c r="Q350" s="21"/>
      <c r="R350" s="49"/>
      <c r="S350" s="21"/>
      <c r="T350" s="21"/>
    </row>
    <row r="351" spans="17:20" ht="15" customHeight="1" x14ac:dyDescent="0.25">
      <c r="Q351" s="21"/>
      <c r="R351" s="49"/>
      <c r="S351" s="21"/>
      <c r="T351" s="21"/>
    </row>
    <row r="352" spans="17:20" ht="15" customHeight="1" x14ac:dyDescent="0.25">
      <c r="Q352" s="21"/>
      <c r="R352" s="49"/>
      <c r="S352" s="21"/>
      <c r="T352" s="21"/>
    </row>
    <row r="353" spans="17:20" ht="15" customHeight="1" x14ac:dyDescent="0.25">
      <c r="Q353" s="21"/>
      <c r="R353" s="49"/>
      <c r="S353" s="21"/>
      <c r="T353" s="21"/>
    </row>
    <row r="354" spans="17:20" ht="15" customHeight="1" x14ac:dyDescent="0.25">
      <c r="Q354" s="21"/>
      <c r="R354" s="49"/>
      <c r="S354" s="21"/>
      <c r="T354" s="21"/>
    </row>
    <row r="355" spans="17:20" ht="15" customHeight="1" x14ac:dyDescent="0.25">
      <c r="Q355" s="21"/>
      <c r="R355" s="49"/>
      <c r="S355" s="21"/>
      <c r="T355" s="21"/>
    </row>
    <row r="356" spans="17:20" ht="15" customHeight="1" x14ac:dyDescent="0.25">
      <c r="Q356" s="21"/>
      <c r="R356" s="49"/>
      <c r="S356" s="21"/>
      <c r="T356" s="21"/>
    </row>
    <row r="357" spans="17:20" ht="15" customHeight="1" x14ac:dyDescent="0.25">
      <c r="Q357" s="21"/>
      <c r="R357" s="49"/>
      <c r="S357" s="21"/>
      <c r="T357" s="21"/>
    </row>
    <row r="358" spans="17:20" ht="15" customHeight="1" x14ac:dyDescent="0.25">
      <c r="Q358" s="21"/>
      <c r="R358" s="49"/>
      <c r="S358" s="21"/>
      <c r="T358" s="21"/>
    </row>
    <row r="359" spans="17:20" ht="15" customHeight="1" x14ac:dyDescent="0.25">
      <c r="Q359" s="21"/>
      <c r="R359" s="49"/>
      <c r="S359" s="21"/>
      <c r="T359" s="21"/>
    </row>
    <row r="360" spans="17:20" ht="15" customHeight="1" x14ac:dyDescent="0.25">
      <c r="Q360" s="21"/>
      <c r="R360" s="49"/>
      <c r="S360" s="21"/>
      <c r="T360" s="21"/>
    </row>
    <row r="361" spans="17:20" ht="15" customHeight="1" x14ac:dyDescent="0.25">
      <c r="Q361" s="21"/>
      <c r="R361" s="49"/>
      <c r="S361" s="21"/>
      <c r="T361" s="21"/>
    </row>
    <row r="362" spans="17:20" ht="15" customHeight="1" x14ac:dyDescent="0.25">
      <c r="Q362" s="21"/>
      <c r="R362" s="49"/>
      <c r="S362" s="21"/>
      <c r="T362" s="21"/>
    </row>
    <row r="363" spans="17:20" ht="15" customHeight="1" x14ac:dyDescent="0.25">
      <c r="Q363" s="21"/>
      <c r="R363" s="49"/>
      <c r="S363" s="21"/>
      <c r="T363" s="21"/>
    </row>
    <row r="364" spans="17:20" ht="15" customHeight="1" x14ac:dyDescent="0.25">
      <c r="Q364" s="21"/>
      <c r="R364" s="49"/>
      <c r="S364" s="21"/>
      <c r="T364" s="21"/>
    </row>
    <row r="365" spans="17:20" ht="15" customHeight="1" x14ac:dyDescent="0.25">
      <c r="Q365" s="21"/>
      <c r="R365" s="49"/>
      <c r="S365" s="21"/>
      <c r="T365" s="21"/>
    </row>
    <row r="366" spans="17:20" ht="15" customHeight="1" x14ac:dyDescent="0.25">
      <c r="Q366" s="21"/>
      <c r="R366" s="49"/>
      <c r="S366" s="21"/>
      <c r="T366" s="21"/>
    </row>
    <row r="367" spans="17:20" ht="15" customHeight="1" x14ac:dyDescent="0.25">
      <c r="Q367" s="21"/>
      <c r="R367" s="49"/>
      <c r="S367" s="21"/>
      <c r="T367" s="21"/>
    </row>
    <row r="368" spans="17:20" ht="15" customHeight="1" x14ac:dyDescent="0.25">
      <c r="Q368" s="21"/>
      <c r="R368" s="49"/>
      <c r="S368" s="21"/>
      <c r="T368" s="21"/>
    </row>
    <row r="369" spans="17:20" ht="15" customHeight="1" x14ac:dyDescent="0.25">
      <c r="Q369" s="21"/>
      <c r="R369" s="49"/>
      <c r="S369" s="21"/>
      <c r="T369" s="21"/>
    </row>
    <row r="370" spans="17:20" ht="15" customHeight="1" x14ac:dyDescent="0.25">
      <c r="Q370" s="21"/>
      <c r="R370" s="49"/>
      <c r="S370" s="21"/>
      <c r="T370" s="21"/>
    </row>
    <row r="371" spans="17:20" ht="15" customHeight="1" x14ac:dyDescent="0.25">
      <c r="Q371" s="21"/>
      <c r="R371" s="49"/>
      <c r="S371" s="21"/>
      <c r="T371" s="21"/>
    </row>
    <row r="372" spans="17:20" ht="15" customHeight="1" x14ac:dyDescent="0.25">
      <c r="Q372" s="21"/>
      <c r="R372" s="49"/>
      <c r="S372" s="21"/>
      <c r="T372" s="21"/>
    </row>
    <row r="373" spans="17:20" ht="15" customHeight="1" x14ac:dyDescent="0.25">
      <c r="Q373" s="21"/>
      <c r="R373" s="49"/>
      <c r="S373" s="21"/>
      <c r="T373" s="21"/>
    </row>
    <row r="374" spans="17:20" ht="15" customHeight="1" x14ac:dyDescent="0.25">
      <c r="Q374" s="21"/>
      <c r="R374" s="49"/>
      <c r="S374" s="21"/>
      <c r="T374" s="21"/>
    </row>
    <row r="375" spans="17:20" ht="15" customHeight="1" x14ac:dyDescent="0.25">
      <c r="Q375" s="21"/>
      <c r="R375" s="49"/>
      <c r="S375" s="21"/>
      <c r="T375" s="21"/>
    </row>
    <row r="376" spans="17:20" ht="15" customHeight="1" x14ac:dyDescent="0.25">
      <c r="Q376" s="21"/>
      <c r="R376" s="49"/>
      <c r="S376" s="21"/>
      <c r="T376" s="21"/>
    </row>
    <row r="377" spans="17:20" ht="15" customHeight="1" x14ac:dyDescent="0.25">
      <c r="Q377" s="21"/>
      <c r="R377" s="49"/>
      <c r="S377" s="21"/>
      <c r="T377" s="21"/>
    </row>
    <row r="378" spans="17:20" ht="15" customHeight="1" x14ac:dyDescent="0.25">
      <c r="Q378" s="21"/>
      <c r="R378" s="49"/>
      <c r="S378" s="21"/>
      <c r="T378" s="21"/>
    </row>
    <row r="379" spans="17:20" ht="15" customHeight="1" x14ac:dyDescent="0.25">
      <c r="Q379" s="21"/>
      <c r="R379" s="49"/>
      <c r="S379" s="21"/>
      <c r="T379" s="21"/>
    </row>
    <row r="380" spans="17:20" ht="15" customHeight="1" x14ac:dyDescent="0.25">
      <c r="Q380" s="21"/>
      <c r="R380" s="49"/>
      <c r="S380" s="21"/>
      <c r="T380" s="21"/>
    </row>
    <row r="381" spans="17:20" ht="15" customHeight="1" x14ac:dyDescent="0.25">
      <c r="Q381" s="21"/>
      <c r="R381" s="49"/>
      <c r="S381" s="21"/>
      <c r="T381" s="21"/>
    </row>
    <row r="382" spans="17:20" ht="15" customHeight="1" x14ac:dyDescent="0.25">
      <c r="Q382" s="21"/>
      <c r="R382" s="49"/>
      <c r="S382" s="21"/>
      <c r="T382" s="21"/>
    </row>
    <row r="383" spans="17:20" ht="15" customHeight="1" x14ac:dyDescent="0.25">
      <c r="Q383" s="21"/>
      <c r="R383" s="49"/>
      <c r="S383" s="21"/>
      <c r="T383" s="21"/>
    </row>
    <row r="384" spans="17:20" ht="15" customHeight="1" x14ac:dyDescent="0.25">
      <c r="Q384" s="21"/>
      <c r="R384" s="49"/>
      <c r="S384" s="21"/>
      <c r="T384" s="21"/>
    </row>
    <row r="385" spans="17:20" ht="15" customHeight="1" x14ac:dyDescent="0.25">
      <c r="Q385" s="21"/>
      <c r="R385" s="49"/>
      <c r="S385" s="21"/>
      <c r="T385" s="21"/>
    </row>
    <row r="386" spans="17:20" ht="15" customHeight="1" x14ac:dyDescent="0.25">
      <c r="Q386" s="21"/>
      <c r="R386" s="49"/>
      <c r="S386" s="21"/>
      <c r="T386" s="21"/>
    </row>
    <row r="387" spans="17:20" ht="15" customHeight="1" x14ac:dyDescent="0.25">
      <c r="Q387" s="21"/>
      <c r="R387" s="49"/>
      <c r="S387" s="21"/>
      <c r="T387" s="21"/>
    </row>
    <row r="388" spans="17:20" ht="15" customHeight="1" x14ac:dyDescent="0.25">
      <c r="Q388" s="21"/>
      <c r="R388" s="49"/>
      <c r="S388" s="21"/>
      <c r="T388" s="21"/>
    </row>
    <row r="389" spans="17:20" ht="15" customHeight="1" x14ac:dyDescent="0.25">
      <c r="Q389" s="21"/>
      <c r="R389" s="49"/>
      <c r="S389" s="21"/>
      <c r="T389" s="21"/>
    </row>
    <row r="390" spans="17:20" ht="15" customHeight="1" x14ac:dyDescent="0.25">
      <c r="Q390" s="21"/>
      <c r="R390" s="49"/>
      <c r="S390" s="21"/>
      <c r="T390" s="21"/>
    </row>
    <row r="391" spans="17:20" ht="15" customHeight="1" x14ac:dyDescent="0.25">
      <c r="Q391" s="21"/>
      <c r="R391" s="49"/>
      <c r="S391" s="21"/>
      <c r="T391" s="21"/>
    </row>
    <row r="392" spans="17:20" ht="15" customHeight="1" x14ac:dyDescent="0.25">
      <c r="Q392" s="21"/>
      <c r="R392" s="49"/>
      <c r="S392" s="21"/>
      <c r="T392" s="21"/>
    </row>
    <row r="393" spans="17:20" ht="15" customHeight="1" x14ac:dyDescent="0.25">
      <c r="Q393" s="21"/>
      <c r="R393" s="49"/>
      <c r="S393" s="21"/>
      <c r="T393" s="21"/>
    </row>
    <row r="394" spans="17:20" ht="15" customHeight="1" x14ac:dyDescent="0.25">
      <c r="Q394" s="21"/>
      <c r="R394" s="49"/>
      <c r="S394" s="21"/>
      <c r="T394" s="21"/>
    </row>
    <row r="395" spans="17:20" ht="15" customHeight="1" x14ac:dyDescent="0.25">
      <c r="Q395" s="21"/>
      <c r="R395" s="49"/>
      <c r="S395" s="21"/>
      <c r="T395" s="21"/>
    </row>
    <row r="396" spans="17:20" ht="15" customHeight="1" x14ac:dyDescent="0.25">
      <c r="Q396" s="21"/>
      <c r="R396" s="49"/>
      <c r="S396" s="21"/>
      <c r="T396" s="21"/>
    </row>
    <row r="397" spans="17:20" ht="15" customHeight="1" x14ac:dyDescent="0.25">
      <c r="Q397" s="21"/>
      <c r="R397" s="49"/>
      <c r="S397" s="21"/>
      <c r="T397" s="21"/>
    </row>
    <row r="398" spans="17:20" ht="15" customHeight="1" x14ac:dyDescent="0.25">
      <c r="Q398" s="21"/>
      <c r="R398" s="49"/>
      <c r="S398" s="21"/>
      <c r="T398" s="21"/>
    </row>
    <row r="399" spans="17:20" ht="15" customHeight="1" x14ac:dyDescent="0.25">
      <c r="Q399" s="21"/>
      <c r="R399" s="49"/>
      <c r="S399" s="21"/>
      <c r="T399" s="21"/>
    </row>
    <row r="400" spans="17:20" ht="15" customHeight="1" x14ac:dyDescent="0.25">
      <c r="Q400" s="21"/>
      <c r="R400" s="49"/>
      <c r="S400" s="21"/>
      <c r="T400" s="21"/>
    </row>
    <row r="401" spans="17:20" ht="15" customHeight="1" x14ac:dyDescent="0.25">
      <c r="Q401" s="21"/>
      <c r="R401" s="49"/>
      <c r="S401" s="21"/>
      <c r="T401" s="21"/>
    </row>
    <row r="402" spans="17:20" ht="15" customHeight="1" x14ac:dyDescent="0.25">
      <c r="Q402" s="21"/>
      <c r="R402" s="49"/>
      <c r="S402" s="21"/>
      <c r="T402" s="21"/>
    </row>
    <row r="403" spans="17:20" ht="15" customHeight="1" x14ac:dyDescent="0.25">
      <c r="Q403" s="21"/>
      <c r="R403" s="49"/>
      <c r="S403" s="21"/>
      <c r="T403" s="21"/>
    </row>
    <row r="404" spans="17:20" ht="15" customHeight="1" x14ac:dyDescent="0.25">
      <c r="Q404" s="21"/>
      <c r="R404" s="49"/>
      <c r="S404" s="21"/>
      <c r="T404" s="21"/>
    </row>
    <row r="405" spans="17:20" ht="15" customHeight="1" x14ac:dyDescent="0.25">
      <c r="Q405" s="21"/>
      <c r="R405" s="49"/>
      <c r="S405" s="21"/>
      <c r="T405" s="21"/>
    </row>
    <row r="406" spans="17:20" ht="15" customHeight="1" x14ac:dyDescent="0.25">
      <c r="Q406" s="21"/>
      <c r="R406" s="49"/>
      <c r="S406" s="21"/>
      <c r="T406" s="21"/>
    </row>
    <row r="407" spans="17:20" ht="15" customHeight="1" x14ac:dyDescent="0.25">
      <c r="Q407" s="21"/>
      <c r="R407" s="49"/>
      <c r="S407" s="21"/>
      <c r="T407" s="21"/>
    </row>
    <row r="408" spans="17:20" ht="15" customHeight="1" x14ac:dyDescent="0.25">
      <c r="Q408" s="21"/>
      <c r="R408" s="49"/>
      <c r="S408" s="21"/>
      <c r="T408" s="21"/>
    </row>
    <row r="409" spans="17:20" ht="15" customHeight="1" x14ac:dyDescent="0.25">
      <c r="Q409" s="21"/>
      <c r="R409" s="49"/>
      <c r="S409" s="21"/>
      <c r="T409" s="21"/>
    </row>
    <row r="410" spans="17:20" ht="15" customHeight="1" x14ac:dyDescent="0.25">
      <c r="Q410" s="21"/>
      <c r="R410" s="49"/>
      <c r="S410" s="21"/>
      <c r="T410" s="21"/>
    </row>
    <row r="411" spans="17:20" ht="15" customHeight="1" x14ac:dyDescent="0.25">
      <c r="Q411" s="21"/>
      <c r="R411" s="49"/>
      <c r="S411" s="21"/>
      <c r="T411" s="21"/>
    </row>
    <row r="412" spans="17:20" ht="15" customHeight="1" x14ac:dyDescent="0.25">
      <c r="Q412" s="21"/>
      <c r="R412" s="49"/>
      <c r="S412" s="21"/>
      <c r="T412" s="21"/>
    </row>
    <row r="413" spans="17:20" ht="15" customHeight="1" x14ac:dyDescent="0.25">
      <c r="Q413" s="21"/>
      <c r="R413" s="49"/>
      <c r="S413" s="21"/>
      <c r="T413" s="21"/>
    </row>
    <row r="414" spans="17:20" ht="15" customHeight="1" x14ac:dyDescent="0.25">
      <c r="Q414" s="21"/>
      <c r="R414" s="49"/>
      <c r="S414" s="21"/>
      <c r="T414" s="21"/>
    </row>
    <row r="415" spans="17:20" ht="15" customHeight="1" x14ac:dyDescent="0.25">
      <c r="Q415" s="21"/>
      <c r="R415" s="49"/>
      <c r="S415" s="21"/>
      <c r="T415" s="21"/>
    </row>
    <row r="416" spans="17:20" ht="15" customHeight="1" x14ac:dyDescent="0.25">
      <c r="Q416" s="21"/>
      <c r="R416" s="49"/>
      <c r="S416" s="21"/>
      <c r="T416" s="21"/>
    </row>
    <row r="417" spans="17:20" ht="15" customHeight="1" x14ac:dyDescent="0.25">
      <c r="Q417" s="21"/>
      <c r="R417" s="49"/>
      <c r="S417" s="21"/>
      <c r="T417" s="21"/>
    </row>
    <row r="418" spans="17:20" ht="15" customHeight="1" x14ac:dyDescent="0.25">
      <c r="Q418" s="21"/>
      <c r="R418" s="49"/>
      <c r="S418" s="21"/>
      <c r="T418" s="21"/>
    </row>
    <row r="419" spans="17:20" ht="15" customHeight="1" x14ac:dyDescent="0.25">
      <c r="Q419" s="21"/>
      <c r="R419" s="49"/>
      <c r="S419" s="21"/>
      <c r="T419" s="21"/>
    </row>
    <row r="420" spans="17:20" ht="15" customHeight="1" x14ac:dyDescent="0.25">
      <c r="Q420" s="21"/>
      <c r="R420" s="49"/>
      <c r="S420" s="21"/>
      <c r="T420" s="21"/>
    </row>
    <row r="421" spans="17:20" ht="15" customHeight="1" x14ac:dyDescent="0.25">
      <c r="Q421" s="21"/>
      <c r="R421" s="49"/>
      <c r="S421" s="21"/>
      <c r="T421" s="21"/>
    </row>
    <row r="422" spans="17:20" ht="15" customHeight="1" x14ac:dyDescent="0.25">
      <c r="Q422" s="21"/>
      <c r="R422" s="49"/>
      <c r="S422" s="21"/>
      <c r="T422" s="21"/>
    </row>
    <row r="423" spans="17:20" ht="15" customHeight="1" x14ac:dyDescent="0.25">
      <c r="Q423" s="21"/>
      <c r="R423" s="49"/>
      <c r="S423" s="21"/>
      <c r="T423" s="21"/>
    </row>
    <row r="424" spans="17:20" ht="15" customHeight="1" x14ac:dyDescent="0.25">
      <c r="Q424" s="21"/>
      <c r="R424" s="49"/>
      <c r="S424" s="21"/>
      <c r="T424" s="21"/>
    </row>
    <row r="425" spans="17:20" ht="15" customHeight="1" x14ac:dyDescent="0.25">
      <c r="Q425" s="21"/>
      <c r="R425" s="49"/>
      <c r="S425" s="21"/>
      <c r="T425" s="21"/>
    </row>
    <row r="426" spans="17:20" ht="15" customHeight="1" x14ac:dyDescent="0.25">
      <c r="Q426" s="21"/>
      <c r="R426" s="49"/>
      <c r="S426" s="21"/>
      <c r="T426" s="21"/>
    </row>
    <row r="427" spans="17:20" ht="15" customHeight="1" x14ac:dyDescent="0.25">
      <c r="Q427" s="21"/>
      <c r="R427" s="49"/>
      <c r="S427" s="21"/>
      <c r="T427" s="21"/>
    </row>
    <row r="428" spans="17:20" ht="15" customHeight="1" x14ac:dyDescent="0.25">
      <c r="Q428" s="21"/>
      <c r="R428" s="49"/>
      <c r="S428" s="21"/>
      <c r="T428" s="21"/>
    </row>
    <row r="429" spans="17:20" ht="15" customHeight="1" x14ac:dyDescent="0.25">
      <c r="Q429" s="21"/>
      <c r="R429" s="49"/>
      <c r="S429" s="21"/>
      <c r="T429" s="21"/>
    </row>
    <row r="430" spans="17:20" ht="15" customHeight="1" x14ac:dyDescent="0.25">
      <c r="Q430" s="21"/>
      <c r="R430" s="49"/>
      <c r="S430" s="21"/>
      <c r="T430" s="21"/>
    </row>
    <row r="431" spans="17:20" ht="15" customHeight="1" x14ac:dyDescent="0.25">
      <c r="Q431" s="21"/>
      <c r="R431" s="49"/>
      <c r="S431" s="21"/>
      <c r="T431" s="21"/>
    </row>
    <row r="432" spans="17:20" ht="15" customHeight="1" x14ac:dyDescent="0.25">
      <c r="Q432" s="21"/>
      <c r="R432" s="49"/>
      <c r="S432" s="21"/>
      <c r="T432" s="21"/>
    </row>
    <row r="433" spans="17:20" ht="15" customHeight="1" x14ac:dyDescent="0.25">
      <c r="Q433" s="21"/>
      <c r="R433" s="49"/>
      <c r="S433" s="21"/>
      <c r="T433" s="21"/>
    </row>
    <row r="434" spans="17:20" ht="15" customHeight="1" x14ac:dyDescent="0.25">
      <c r="Q434" s="21"/>
      <c r="R434" s="49"/>
      <c r="S434" s="21"/>
      <c r="T434" s="21"/>
    </row>
    <row r="435" spans="17:20" ht="15" customHeight="1" x14ac:dyDescent="0.25">
      <c r="Q435" s="21"/>
      <c r="R435" s="49"/>
      <c r="S435" s="21"/>
      <c r="T435" s="21"/>
    </row>
    <row r="436" spans="17:20" ht="15" customHeight="1" x14ac:dyDescent="0.25">
      <c r="Q436" s="21"/>
      <c r="R436" s="49"/>
      <c r="S436" s="21"/>
      <c r="T436" s="21"/>
    </row>
    <row r="437" spans="17:20" ht="15" customHeight="1" x14ac:dyDescent="0.25">
      <c r="Q437" s="21"/>
      <c r="R437" s="49"/>
      <c r="S437" s="21"/>
      <c r="T437" s="21"/>
    </row>
    <row r="438" spans="17:20" ht="15" customHeight="1" x14ac:dyDescent="0.25">
      <c r="Q438" s="21"/>
      <c r="R438" s="49"/>
      <c r="S438" s="21"/>
      <c r="T438" s="21"/>
    </row>
    <row r="439" spans="17:20" ht="15" customHeight="1" x14ac:dyDescent="0.25">
      <c r="Q439" s="21"/>
      <c r="R439" s="49"/>
      <c r="S439" s="21"/>
      <c r="T439" s="21"/>
    </row>
    <row r="440" spans="17:20" ht="15" customHeight="1" x14ac:dyDescent="0.25">
      <c r="Q440" s="21"/>
      <c r="R440" s="49"/>
      <c r="S440" s="21"/>
      <c r="T440" s="21"/>
    </row>
    <row r="441" spans="17:20" ht="15" customHeight="1" x14ac:dyDescent="0.25">
      <c r="Q441" s="21"/>
      <c r="R441" s="49"/>
      <c r="S441" s="21"/>
      <c r="T441" s="21"/>
    </row>
    <row r="442" spans="17:20" ht="15" customHeight="1" x14ac:dyDescent="0.25">
      <c r="Q442" s="21"/>
      <c r="R442" s="49"/>
      <c r="S442" s="21"/>
      <c r="T442" s="21"/>
    </row>
    <row r="443" spans="17:20" ht="15" customHeight="1" x14ac:dyDescent="0.25">
      <c r="Q443" s="21"/>
      <c r="R443" s="49"/>
      <c r="S443" s="21"/>
      <c r="T443" s="21"/>
    </row>
    <row r="444" spans="17:20" ht="15" customHeight="1" x14ac:dyDescent="0.25">
      <c r="Q444" s="21"/>
      <c r="R444" s="49"/>
      <c r="S444" s="21"/>
      <c r="T444" s="21"/>
    </row>
    <row r="445" spans="17:20" ht="15" customHeight="1" x14ac:dyDescent="0.25">
      <c r="Q445" s="21"/>
      <c r="R445" s="49"/>
      <c r="S445" s="21"/>
      <c r="T445" s="21"/>
    </row>
    <row r="446" spans="17:20" ht="15" customHeight="1" x14ac:dyDescent="0.25">
      <c r="Q446" s="21"/>
      <c r="R446" s="49"/>
      <c r="S446" s="21"/>
      <c r="T446" s="21"/>
    </row>
    <row r="447" spans="17:20" ht="15" customHeight="1" x14ac:dyDescent="0.25">
      <c r="Q447" s="21"/>
      <c r="R447" s="49"/>
      <c r="S447" s="21"/>
      <c r="T447" s="21"/>
    </row>
    <row r="448" spans="17:20" ht="15" customHeight="1" x14ac:dyDescent="0.25">
      <c r="Q448" s="21"/>
      <c r="R448" s="49"/>
      <c r="S448" s="21"/>
      <c r="T448" s="21"/>
    </row>
    <row r="449" spans="17:20" ht="15" customHeight="1" x14ac:dyDescent="0.25">
      <c r="Q449" s="21"/>
      <c r="R449" s="49"/>
      <c r="S449" s="21"/>
      <c r="T449" s="21"/>
    </row>
    <row r="450" spans="17:20" ht="15" customHeight="1" x14ac:dyDescent="0.25">
      <c r="Q450" s="21"/>
      <c r="R450" s="49"/>
      <c r="S450" s="21"/>
      <c r="T450" s="21"/>
    </row>
    <row r="451" spans="17:20" ht="15" customHeight="1" x14ac:dyDescent="0.25">
      <c r="Q451" s="21"/>
      <c r="R451" s="49"/>
      <c r="S451" s="21"/>
      <c r="T451" s="21"/>
    </row>
    <row r="452" spans="17:20" ht="15" customHeight="1" x14ac:dyDescent="0.25">
      <c r="Q452" s="21"/>
      <c r="R452" s="49"/>
      <c r="S452" s="21"/>
      <c r="T452" s="21"/>
    </row>
    <row r="453" spans="17:20" ht="15" customHeight="1" x14ac:dyDescent="0.25">
      <c r="Q453" s="21"/>
      <c r="R453" s="49"/>
      <c r="S453" s="21"/>
      <c r="T453" s="21"/>
    </row>
    <row r="454" spans="17:20" ht="15" customHeight="1" x14ac:dyDescent="0.25">
      <c r="Q454" s="21"/>
      <c r="R454" s="49"/>
      <c r="S454" s="21"/>
      <c r="T454" s="21"/>
    </row>
    <row r="455" spans="17:20" ht="15" customHeight="1" x14ac:dyDescent="0.25">
      <c r="Q455" s="21"/>
      <c r="R455" s="49"/>
      <c r="S455" s="21"/>
      <c r="T455" s="21"/>
    </row>
    <row r="456" spans="17:20" ht="15" customHeight="1" x14ac:dyDescent="0.25">
      <c r="Q456" s="21"/>
      <c r="R456" s="49"/>
      <c r="S456" s="21"/>
      <c r="T456" s="21"/>
    </row>
    <row r="457" spans="17:20" ht="15" customHeight="1" x14ac:dyDescent="0.25">
      <c r="Q457" s="21"/>
      <c r="R457" s="49"/>
      <c r="S457" s="21"/>
      <c r="T457" s="21"/>
    </row>
    <row r="458" spans="17:20" ht="15" customHeight="1" x14ac:dyDescent="0.25">
      <c r="Q458" s="21"/>
      <c r="R458" s="49"/>
      <c r="S458" s="21"/>
      <c r="T458" s="21"/>
    </row>
    <row r="459" spans="17:20" ht="15" customHeight="1" x14ac:dyDescent="0.25">
      <c r="Q459" s="21"/>
      <c r="R459" s="49"/>
      <c r="S459" s="21"/>
      <c r="T459" s="21"/>
    </row>
    <row r="460" spans="17:20" ht="15" customHeight="1" x14ac:dyDescent="0.25">
      <c r="Q460" s="21"/>
      <c r="R460" s="49"/>
      <c r="S460" s="21"/>
      <c r="T460" s="21"/>
    </row>
    <row r="461" spans="17:20" ht="15" customHeight="1" x14ac:dyDescent="0.25">
      <c r="Q461" s="21"/>
      <c r="R461" s="49"/>
      <c r="S461" s="21"/>
      <c r="T461" s="21"/>
    </row>
    <row r="462" spans="17:20" ht="15" customHeight="1" x14ac:dyDescent="0.25">
      <c r="Q462" s="21"/>
      <c r="R462" s="49"/>
      <c r="S462" s="21"/>
      <c r="T462" s="21"/>
    </row>
    <row r="463" spans="17:20" ht="15" customHeight="1" x14ac:dyDescent="0.25">
      <c r="Q463" s="21"/>
      <c r="R463" s="49"/>
      <c r="S463" s="21"/>
      <c r="T463" s="21"/>
    </row>
    <row r="464" spans="17:20" ht="15" customHeight="1" x14ac:dyDescent="0.25">
      <c r="Q464" s="21"/>
      <c r="R464" s="49"/>
      <c r="S464" s="21"/>
      <c r="T464" s="21"/>
    </row>
    <row r="465" spans="17:20" ht="15" customHeight="1" x14ac:dyDescent="0.25">
      <c r="Q465" s="21"/>
      <c r="R465" s="49"/>
      <c r="S465" s="21"/>
      <c r="T465" s="21"/>
    </row>
    <row r="466" spans="17:20" ht="15" customHeight="1" x14ac:dyDescent="0.25">
      <c r="Q466" s="21"/>
      <c r="R466" s="49"/>
      <c r="S466" s="21"/>
      <c r="T466" s="21"/>
    </row>
    <row r="467" spans="17:20" ht="15" customHeight="1" x14ac:dyDescent="0.25">
      <c r="Q467" s="21"/>
      <c r="R467" s="49"/>
      <c r="S467" s="21"/>
      <c r="T467" s="21"/>
    </row>
    <row r="468" spans="17:20" ht="15" customHeight="1" x14ac:dyDescent="0.25">
      <c r="Q468" s="21"/>
      <c r="R468" s="49"/>
      <c r="S468" s="21"/>
      <c r="T468" s="21"/>
    </row>
    <row r="469" spans="17:20" ht="15" customHeight="1" x14ac:dyDescent="0.25">
      <c r="Q469" s="21"/>
      <c r="R469" s="49"/>
      <c r="S469" s="21"/>
      <c r="T469" s="21"/>
    </row>
    <row r="470" spans="17:20" ht="15" customHeight="1" x14ac:dyDescent="0.25">
      <c r="Q470" s="21"/>
      <c r="R470" s="49"/>
      <c r="S470" s="21"/>
      <c r="T470" s="21"/>
    </row>
    <row r="471" spans="17:20" ht="15" customHeight="1" x14ac:dyDescent="0.25">
      <c r="Q471" s="21"/>
      <c r="R471" s="49"/>
      <c r="S471" s="21"/>
      <c r="T471" s="21"/>
    </row>
    <row r="472" spans="17:20" ht="15" customHeight="1" x14ac:dyDescent="0.25">
      <c r="Q472" s="21"/>
      <c r="R472" s="49"/>
      <c r="S472" s="21"/>
      <c r="T472" s="21"/>
    </row>
    <row r="473" spans="17:20" ht="15" customHeight="1" x14ac:dyDescent="0.25">
      <c r="Q473" s="21"/>
      <c r="R473" s="49"/>
      <c r="S473" s="21"/>
      <c r="T473" s="21"/>
    </row>
    <row r="474" spans="17:20" ht="15" customHeight="1" x14ac:dyDescent="0.25">
      <c r="Q474" s="21"/>
      <c r="R474" s="49"/>
      <c r="S474" s="21"/>
      <c r="T474" s="21"/>
    </row>
    <row r="475" spans="17:20" ht="15" customHeight="1" x14ac:dyDescent="0.25">
      <c r="Q475" s="21"/>
      <c r="R475" s="49"/>
      <c r="S475" s="21"/>
      <c r="T475" s="21"/>
    </row>
    <row r="476" spans="17:20" ht="15" customHeight="1" x14ac:dyDescent="0.25">
      <c r="Q476" s="21"/>
      <c r="R476" s="49"/>
      <c r="S476" s="21"/>
      <c r="T476" s="21"/>
    </row>
    <row r="477" spans="17:20" ht="15" customHeight="1" x14ac:dyDescent="0.25">
      <c r="Q477" s="21"/>
      <c r="R477" s="49"/>
      <c r="S477" s="21"/>
      <c r="T477" s="21"/>
    </row>
    <row r="478" spans="17:20" ht="15" customHeight="1" x14ac:dyDescent="0.25">
      <c r="Q478" s="21"/>
      <c r="R478" s="49"/>
      <c r="S478" s="21"/>
      <c r="T478" s="21"/>
    </row>
    <row r="479" spans="17:20" ht="15" customHeight="1" x14ac:dyDescent="0.25">
      <c r="Q479" s="21"/>
      <c r="R479" s="49"/>
      <c r="S479" s="21"/>
      <c r="T479" s="21"/>
    </row>
    <row r="480" spans="17:20" ht="15" customHeight="1" x14ac:dyDescent="0.25">
      <c r="Q480" s="21"/>
      <c r="R480" s="49"/>
      <c r="S480" s="21"/>
      <c r="T480" s="21"/>
    </row>
    <row r="481" spans="17:20" ht="15" customHeight="1" x14ac:dyDescent="0.25">
      <c r="Q481" s="21"/>
      <c r="R481" s="49"/>
      <c r="S481" s="21"/>
      <c r="T481" s="21"/>
    </row>
    <row r="482" spans="17:20" ht="15" customHeight="1" x14ac:dyDescent="0.25">
      <c r="Q482" s="21"/>
      <c r="R482" s="49"/>
      <c r="S482" s="21"/>
      <c r="T482" s="21"/>
    </row>
    <row r="483" spans="17:20" ht="15" customHeight="1" x14ac:dyDescent="0.25">
      <c r="Q483" s="21"/>
      <c r="R483" s="49"/>
      <c r="S483" s="21"/>
      <c r="T483" s="21"/>
    </row>
    <row r="484" spans="17:20" ht="15" customHeight="1" x14ac:dyDescent="0.25">
      <c r="Q484" s="21"/>
      <c r="R484" s="49"/>
      <c r="S484" s="21"/>
      <c r="T484" s="21"/>
    </row>
    <row r="485" spans="17:20" ht="15" customHeight="1" x14ac:dyDescent="0.25">
      <c r="Q485" s="21"/>
      <c r="R485" s="49"/>
      <c r="S485" s="21"/>
      <c r="T485" s="21"/>
    </row>
    <row r="486" spans="17:20" ht="15" customHeight="1" x14ac:dyDescent="0.25">
      <c r="Q486" s="21"/>
      <c r="R486" s="49"/>
      <c r="S486" s="21"/>
      <c r="T486" s="21"/>
    </row>
    <row r="487" spans="17:20" ht="15" customHeight="1" x14ac:dyDescent="0.25">
      <c r="Q487" s="21"/>
      <c r="R487" s="49"/>
      <c r="S487" s="21"/>
      <c r="T487" s="21"/>
    </row>
    <row r="488" spans="17:20" ht="15" customHeight="1" x14ac:dyDescent="0.25">
      <c r="Q488" s="21"/>
      <c r="R488" s="49"/>
      <c r="S488" s="21"/>
      <c r="T488" s="21"/>
    </row>
    <row r="489" spans="17:20" ht="15" customHeight="1" x14ac:dyDescent="0.25">
      <c r="Q489" s="21"/>
      <c r="R489" s="49"/>
      <c r="S489" s="21"/>
      <c r="T489" s="21"/>
    </row>
    <row r="490" spans="17:20" ht="15" customHeight="1" x14ac:dyDescent="0.25">
      <c r="Q490" s="21"/>
      <c r="R490" s="49"/>
      <c r="S490" s="21"/>
      <c r="T490" s="21"/>
    </row>
    <row r="491" spans="17:20" ht="15" customHeight="1" x14ac:dyDescent="0.25">
      <c r="Q491" s="21"/>
      <c r="R491" s="49"/>
      <c r="S491" s="21"/>
      <c r="T491" s="21"/>
    </row>
    <row r="492" spans="17:20" ht="15" customHeight="1" x14ac:dyDescent="0.25">
      <c r="Q492" s="21"/>
      <c r="R492" s="49"/>
      <c r="S492" s="21"/>
      <c r="T492" s="21"/>
    </row>
    <row r="493" spans="17:20" ht="15" customHeight="1" x14ac:dyDescent="0.25">
      <c r="Q493" s="21"/>
      <c r="R493" s="49"/>
      <c r="S493" s="21"/>
      <c r="T493" s="21"/>
    </row>
    <row r="494" spans="17:20" ht="15" customHeight="1" x14ac:dyDescent="0.25">
      <c r="Q494" s="21"/>
      <c r="R494" s="49"/>
      <c r="S494" s="21"/>
      <c r="T494" s="21"/>
    </row>
    <row r="495" spans="17:20" ht="15" customHeight="1" x14ac:dyDescent="0.25">
      <c r="Q495" s="21"/>
      <c r="R495" s="49"/>
      <c r="S495" s="21"/>
      <c r="T495" s="21"/>
    </row>
    <row r="496" spans="17:20" ht="15" customHeight="1" x14ac:dyDescent="0.25">
      <c r="Q496" s="21"/>
      <c r="R496" s="49"/>
      <c r="S496" s="21"/>
      <c r="T496" s="21"/>
    </row>
    <row r="497" spans="17:20" ht="15" customHeight="1" x14ac:dyDescent="0.25">
      <c r="Q497" s="21"/>
      <c r="R497" s="49"/>
      <c r="S497" s="21"/>
      <c r="T497" s="21"/>
    </row>
    <row r="498" spans="17:20" ht="15" customHeight="1" x14ac:dyDescent="0.25">
      <c r="Q498" s="21"/>
      <c r="R498" s="49"/>
      <c r="S498" s="21"/>
      <c r="T498" s="21"/>
    </row>
    <row r="499" spans="17:20" ht="15" customHeight="1" x14ac:dyDescent="0.25">
      <c r="Q499" s="21"/>
      <c r="R499" s="49"/>
      <c r="S499" s="21"/>
      <c r="T499" s="21"/>
    </row>
    <row r="500" spans="17:20" ht="15" customHeight="1" x14ac:dyDescent="0.25">
      <c r="Q500" s="21"/>
      <c r="R500" s="49"/>
      <c r="S500" s="21"/>
      <c r="T500" s="21"/>
    </row>
    <row r="501" spans="17:20" ht="15" customHeight="1" x14ac:dyDescent="0.25">
      <c r="Q501" s="21"/>
      <c r="R501" s="49"/>
      <c r="S501" s="21"/>
      <c r="T501" s="21"/>
    </row>
    <row r="502" spans="17:20" ht="15" customHeight="1" x14ac:dyDescent="0.25">
      <c r="Q502" s="21"/>
      <c r="R502" s="49"/>
      <c r="S502" s="21"/>
      <c r="T502" s="21"/>
    </row>
    <row r="503" spans="17:20" ht="15" customHeight="1" x14ac:dyDescent="0.25">
      <c r="Q503" s="21"/>
      <c r="R503" s="49"/>
      <c r="S503" s="21"/>
      <c r="T503" s="21"/>
    </row>
    <row r="504" spans="17:20" ht="15" customHeight="1" x14ac:dyDescent="0.25">
      <c r="Q504" s="21"/>
      <c r="R504" s="49"/>
      <c r="S504" s="21"/>
      <c r="T504" s="21"/>
    </row>
    <row r="505" spans="17:20" ht="15" customHeight="1" x14ac:dyDescent="0.25">
      <c r="Q505" s="21"/>
      <c r="R505" s="49"/>
      <c r="S505" s="21"/>
      <c r="T505" s="21"/>
    </row>
    <row r="506" spans="17:20" ht="15" customHeight="1" x14ac:dyDescent="0.25">
      <c r="Q506" s="21"/>
      <c r="R506" s="49"/>
      <c r="S506" s="21"/>
      <c r="T506" s="21"/>
    </row>
    <row r="507" spans="17:20" ht="15" customHeight="1" x14ac:dyDescent="0.25">
      <c r="Q507" s="21"/>
      <c r="R507" s="49"/>
      <c r="S507" s="21"/>
      <c r="T507" s="21"/>
    </row>
    <row r="508" spans="17:20" ht="15" customHeight="1" x14ac:dyDescent="0.25">
      <c r="Q508" s="21"/>
      <c r="R508" s="49"/>
      <c r="S508" s="21"/>
      <c r="T508" s="21"/>
    </row>
    <row r="509" spans="17:20" ht="15" customHeight="1" x14ac:dyDescent="0.25">
      <c r="Q509" s="21"/>
      <c r="R509" s="49"/>
      <c r="S509" s="21"/>
      <c r="T509" s="21"/>
    </row>
    <row r="510" spans="17:20" ht="15" customHeight="1" x14ac:dyDescent="0.25">
      <c r="Q510" s="21"/>
      <c r="R510" s="49"/>
      <c r="S510" s="21"/>
      <c r="T510" s="21"/>
    </row>
    <row r="511" spans="17:20" ht="15" customHeight="1" x14ac:dyDescent="0.25">
      <c r="Q511" s="21"/>
      <c r="R511" s="49"/>
      <c r="S511" s="21"/>
      <c r="T511" s="21"/>
    </row>
    <row r="512" spans="17:20" ht="15" customHeight="1" x14ac:dyDescent="0.25">
      <c r="Q512" s="21"/>
      <c r="R512" s="49"/>
      <c r="S512" s="21"/>
      <c r="T512" s="21"/>
    </row>
    <row r="513" spans="17:20" ht="15" customHeight="1" x14ac:dyDescent="0.25">
      <c r="Q513" s="21"/>
      <c r="R513" s="49"/>
      <c r="S513" s="21"/>
      <c r="T513" s="21"/>
    </row>
    <row r="514" spans="17:20" ht="15" customHeight="1" x14ac:dyDescent="0.25">
      <c r="Q514" s="21"/>
      <c r="R514" s="49"/>
      <c r="S514" s="21"/>
      <c r="T514" s="21"/>
    </row>
    <row r="515" spans="17:20" ht="15" customHeight="1" x14ac:dyDescent="0.25">
      <c r="Q515" s="21"/>
      <c r="R515" s="49"/>
      <c r="S515" s="21"/>
      <c r="T515" s="21"/>
    </row>
    <row r="516" spans="17:20" ht="15" customHeight="1" x14ac:dyDescent="0.25">
      <c r="Q516" s="21"/>
      <c r="R516" s="49"/>
      <c r="S516" s="21"/>
      <c r="T516" s="21"/>
    </row>
    <row r="517" spans="17:20" ht="15" customHeight="1" x14ac:dyDescent="0.25">
      <c r="Q517" s="21"/>
      <c r="R517" s="49"/>
      <c r="S517" s="21"/>
      <c r="T517" s="21"/>
    </row>
    <row r="518" spans="17:20" ht="15" customHeight="1" x14ac:dyDescent="0.25">
      <c r="Q518" s="21"/>
      <c r="R518" s="49"/>
      <c r="S518" s="21"/>
      <c r="T518" s="21"/>
    </row>
    <row r="519" spans="17:20" ht="15" customHeight="1" x14ac:dyDescent="0.25">
      <c r="Q519" s="21"/>
      <c r="R519" s="49"/>
      <c r="S519" s="21"/>
      <c r="T519" s="21"/>
    </row>
    <row r="520" spans="17:20" ht="15" customHeight="1" x14ac:dyDescent="0.25">
      <c r="Q520" s="21"/>
      <c r="R520" s="49"/>
      <c r="S520" s="21"/>
      <c r="T520" s="21"/>
    </row>
    <row r="521" spans="17:20" ht="15" customHeight="1" x14ac:dyDescent="0.25">
      <c r="Q521" s="21"/>
      <c r="R521" s="49"/>
      <c r="S521" s="21"/>
      <c r="T521" s="21"/>
    </row>
    <row r="522" spans="17:20" ht="15" customHeight="1" x14ac:dyDescent="0.25">
      <c r="Q522" s="21"/>
      <c r="R522" s="49"/>
      <c r="S522" s="21"/>
      <c r="T522" s="21"/>
    </row>
    <row r="523" spans="17:20" ht="15" customHeight="1" x14ac:dyDescent="0.25">
      <c r="Q523" s="21"/>
      <c r="R523" s="49"/>
      <c r="S523" s="21"/>
      <c r="T523" s="21"/>
    </row>
    <row r="524" spans="17:20" ht="15" customHeight="1" x14ac:dyDescent="0.25">
      <c r="Q524" s="21"/>
      <c r="R524" s="49"/>
      <c r="S524" s="21"/>
      <c r="T524" s="21"/>
    </row>
    <row r="525" spans="17:20" ht="15" customHeight="1" x14ac:dyDescent="0.25">
      <c r="Q525" s="21"/>
      <c r="R525" s="49"/>
      <c r="S525" s="21"/>
      <c r="T525" s="21"/>
    </row>
    <row r="526" spans="17:20" ht="15" customHeight="1" x14ac:dyDescent="0.25">
      <c r="Q526" s="21"/>
      <c r="R526" s="49"/>
      <c r="S526" s="21"/>
      <c r="T526" s="21"/>
    </row>
    <row r="527" spans="17:20" ht="15" customHeight="1" x14ac:dyDescent="0.25">
      <c r="Q527" s="21"/>
      <c r="R527" s="49"/>
      <c r="S527" s="21"/>
      <c r="T527" s="21"/>
    </row>
    <row r="528" spans="17:20" ht="15" customHeight="1" x14ac:dyDescent="0.25">
      <c r="Q528" s="21"/>
      <c r="R528" s="49"/>
      <c r="S528" s="21"/>
      <c r="T528" s="21"/>
    </row>
    <row r="529" spans="17:20" ht="15" customHeight="1" x14ac:dyDescent="0.25">
      <c r="Q529" s="21"/>
      <c r="R529" s="49"/>
      <c r="S529" s="21"/>
      <c r="T529" s="21"/>
    </row>
    <row r="530" spans="17:20" ht="15" customHeight="1" x14ac:dyDescent="0.25">
      <c r="Q530" s="21"/>
      <c r="R530" s="49"/>
      <c r="S530" s="21"/>
      <c r="T530" s="21"/>
    </row>
    <row r="531" spans="17:20" ht="15" customHeight="1" x14ac:dyDescent="0.25">
      <c r="Q531" s="21"/>
      <c r="R531" s="49"/>
      <c r="S531" s="21"/>
      <c r="T531" s="21"/>
    </row>
    <row r="532" spans="17:20" ht="15" customHeight="1" x14ac:dyDescent="0.25">
      <c r="Q532" s="21"/>
      <c r="R532" s="49"/>
      <c r="S532" s="21"/>
      <c r="T532" s="21"/>
    </row>
    <row r="533" spans="17:20" ht="15" customHeight="1" x14ac:dyDescent="0.25">
      <c r="Q533" s="21"/>
      <c r="R533" s="49"/>
      <c r="S533" s="21"/>
      <c r="T533" s="21"/>
    </row>
    <row r="534" spans="17:20" ht="15" customHeight="1" x14ac:dyDescent="0.25">
      <c r="Q534" s="21"/>
      <c r="R534" s="49"/>
      <c r="S534" s="21"/>
      <c r="T534" s="21"/>
    </row>
    <row r="535" spans="17:20" ht="15" customHeight="1" x14ac:dyDescent="0.25">
      <c r="Q535" s="21"/>
      <c r="R535" s="49"/>
      <c r="S535" s="21"/>
      <c r="T535" s="21"/>
    </row>
    <row r="536" spans="17:20" ht="15" customHeight="1" x14ac:dyDescent="0.25">
      <c r="Q536" s="21"/>
      <c r="R536" s="49"/>
      <c r="S536" s="21"/>
      <c r="T536" s="21"/>
    </row>
    <row r="537" spans="17:20" ht="15" customHeight="1" x14ac:dyDescent="0.25">
      <c r="Q537" s="21"/>
      <c r="R537" s="49"/>
      <c r="S537" s="21"/>
      <c r="T537" s="21"/>
    </row>
    <row r="538" spans="17:20" ht="15" customHeight="1" x14ac:dyDescent="0.25">
      <c r="Q538" s="21"/>
      <c r="R538" s="49"/>
      <c r="S538" s="21"/>
      <c r="T538" s="21"/>
    </row>
    <row r="539" spans="17:20" ht="15" customHeight="1" x14ac:dyDescent="0.25">
      <c r="Q539" s="21"/>
      <c r="R539" s="49"/>
      <c r="S539" s="21"/>
      <c r="T539" s="21"/>
    </row>
    <row r="540" spans="17:20" ht="15" customHeight="1" x14ac:dyDescent="0.25">
      <c r="Q540" s="21"/>
      <c r="R540" s="49"/>
      <c r="S540" s="21"/>
      <c r="T540" s="21"/>
    </row>
    <row r="541" spans="17:20" ht="15" customHeight="1" x14ac:dyDescent="0.25">
      <c r="Q541" s="21"/>
      <c r="R541" s="49"/>
      <c r="S541" s="21"/>
      <c r="T541" s="21"/>
    </row>
    <row r="542" spans="17:20" ht="15" customHeight="1" x14ac:dyDescent="0.25">
      <c r="Q542" s="21"/>
      <c r="R542" s="49"/>
      <c r="S542" s="21"/>
      <c r="T542" s="21"/>
    </row>
    <row r="543" spans="17:20" ht="15" customHeight="1" x14ac:dyDescent="0.25">
      <c r="Q543" s="21"/>
      <c r="R543" s="49"/>
      <c r="S543" s="21"/>
      <c r="T543" s="21"/>
    </row>
    <row r="544" spans="17:20" ht="15" customHeight="1" x14ac:dyDescent="0.25">
      <c r="Q544" s="21"/>
      <c r="R544" s="49"/>
      <c r="S544" s="21"/>
      <c r="T544" s="21"/>
    </row>
    <row r="545" spans="17:20" ht="15" customHeight="1" x14ac:dyDescent="0.25">
      <c r="Q545" s="21"/>
      <c r="R545" s="49"/>
      <c r="S545" s="21"/>
      <c r="T545" s="21"/>
    </row>
    <row r="546" spans="17:20" ht="15" customHeight="1" x14ac:dyDescent="0.25">
      <c r="Q546" s="21"/>
      <c r="R546" s="49"/>
      <c r="S546" s="21"/>
      <c r="T546" s="21"/>
    </row>
    <row r="547" spans="17:20" ht="15" customHeight="1" x14ac:dyDescent="0.25">
      <c r="Q547" s="21"/>
      <c r="R547" s="49"/>
      <c r="S547" s="21"/>
      <c r="T547" s="21"/>
    </row>
    <row r="548" spans="17:20" ht="15" customHeight="1" x14ac:dyDescent="0.25">
      <c r="Q548" s="21"/>
      <c r="R548" s="49"/>
      <c r="S548" s="21"/>
      <c r="T548" s="21"/>
    </row>
    <row r="549" spans="17:20" ht="15" customHeight="1" x14ac:dyDescent="0.25">
      <c r="Q549" s="21"/>
      <c r="R549" s="49"/>
      <c r="S549" s="21"/>
      <c r="T549" s="21"/>
    </row>
    <row r="550" spans="17:20" ht="15" customHeight="1" x14ac:dyDescent="0.25">
      <c r="Q550" s="21"/>
      <c r="R550" s="49"/>
      <c r="S550" s="21"/>
      <c r="T550" s="21"/>
    </row>
    <row r="551" spans="17:20" ht="15" customHeight="1" x14ac:dyDescent="0.25">
      <c r="Q551" s="21"/>
      <c r="R551" s="49"/>
      <c r="S551" s="21"/>
      <c r="T551" s="21"/>
    </row>
    <row r="552" spans="17:20" ht="15" customHeight="1" x14ac:dyDescent="0.25">
      <c r="Q552" s="21"/>
      <c r="R552" s="49"/>
      <c r="S552" s="21"/>
      <c r="T552" s="21"/>
    </row>
    <row r="553" spans="17:20" ht="15" customHeight="1" x14ac:dyDescent="0.25">
      <c r="Q553" s="21"/>
      <c r="R553" s="49"/>
      <c r="S553" s="21"/>
      <c r="T553" s="21"/>
    </row>
    <row r="554" spans="17:20" ht="15" customHeight="1" x14ac:dyDescent="0.25">
      <c r="Q554" s="21"/>
      <c r="R554" s="49"/>
      <c r="S554" s="21"/>
      <c r="T554" s="21"/>
    </row>
    <row r="555" spans="17:20" ht="15" customHeight="1" x14ac:dyDescent="0.25">
      <c r="Q555" s="21"/>
      <c r="R555" s="49"/>
      <c r="S555" s="21"/>
      <c r="T555" s="21"/>
    </row>
    <row r="556" spans="17:20" ht="15" customHeight="1" x14ac:dyDescent="0.25">
      <c r="Q556" s="21"/>
      <c r="R556" s="49"/>
      <c r="S556" s="21"/>
      <c r="T556" s="21"/>
    </row>
    <row r="557" spans="17:20" ht="15" customHeight="1" x14ac:dyDescent="0.25">
      <c r="Q557" s="21"/>
      <c r="R557" s="49"/>
      <c r="S557" s="21"/>
      <c r="T557" s="21"/>
    </row>
    <row r="558" spans="17:20" ht="15" customHeight="1" x14ac:dyDescent="0.25">
      <c r="Q558" s="21"/>
      <c r="R558" s="49"/>
      <c r="S558" s="21"/>
      <c r="T558" s="21"/>
    </row>
    <row r="559" spans="17:20" ht="15" customHeight="1" x14ac:dyDescent="0.25">
      <c r="Q559" s="21"/>
      <c r="R559" s="49"/>
      <c r="S559" s="21"/>
      <c r="T559" s="21"/>
    </row>
    <row r="560" spans="17:20" ht="15" customHeight="1" x14ac:dyDescent="0.25">
      <c r="Q560" s="21"/>
      <c r="R560" s="49"/>
      <c r="S560" s="21"/>
      <c r="T560" s="21"/>
    </row>
    <row r="561" spans="17:20" ht="15" customHeight="1" x14ac:dyDescent="0.25">
      <c r="Q561" s="21"/>
      <c r="R561" s="49"/>
      <c r="S561" s="21"/>
      <c r="T561" s="21"/>
    </row>
    <row r="562" spans="17:20" ht="15" customHeight="1" x14ac:dyDescent="0.25">
      <c r="Q562" s="21"/>
      <c r="R562" s="49"/>
      <c r="S562" s="21"/>
      <c r="T562" s="21"/>
    </row>
    <row r="563" spans="17:20" ht="15" customHeight="1" x14ac:dyDescent="0.25">
      <c r="Q563" s="21"/>
      <c r="R563" s="49"/>
      <c r="S563" s="21"/>
      <c r="T563" s="21"/>
    </row>
    <row r="564" spans="17:20" ht="15" customHeight="1" x14ac:dyDescent="0.25">
      <c r="Q564" s="21"/>
      <c r="R564" s="49"/>
      <c r="S564" s="21"/>
      <c r="T564" s="21"/>
    </row>
    <row r="565" spans="17:20" ht="15" customHeight="1" x14ac:dyDescent="0.25">
      <c r="Q565" s="21"/>
      <c r="R565" s="49"/>
      <c r="S565" s="21"/>
      <c r="T565" s="21"/>
    </row>
    <row r="566" spans="17:20" ht="15" customHeight="1" x14ac:dyDescent="0.25">
      <c r="Q566" s="21"/>
      <c r="R566" s="49"/>
      <c r="S566" s="21"/>
      <c r="T566" s="21"/>
    </row>
    <row r="567" spans="17:20" ht="15" customHeight="1" x14ac:dyDescent="0.25">
      <c r="Q567" s="21"/>
      <c r="R567" s="49"/>
      <c r="S567" s="21"/>
      <c r="T567" s="21"/>
    </row>
    <row r="568" spans="17:20" ht="15" customHeight="1" x14ac:dyDescent="0.25">
      <c r="Q568" s="21"/>
      <c r="R568" s="49"/>
      <c r="S568" s="21"/>
      <c r="T568" s="21"/>
    </row>
    <row r="569" spans="17:20" ht="15" customHeight="1" x14ac:dyDescent="0.25">
      <c r="Q569" s="21"/>
      <c r="R569" s="49"/>
      <c r="S569" s="21"/>
      <c r="T569" s="21"/>
    </row>
    <row r="570" spans="17:20" ht="15" customHeight="1" x14ac:dyDescent="0.25">
      <c r="Q570" s="21"/>
      <c r="R570" s="49"/>
      <c r="S570" s="21"/>
      <c r="T570" s="21"/>
    </row>
    <row r="571" spans="17:20" ht="15" customHeight="1" x14ac:dyDescent="0.25">
      <c r="Q571" s="21"/>
      <c r="R571" s="49"/>
      <c r="S571" s="21"/>
      <c r="T571" s="21"/>
    </row>
    <row r="572" spans="17:20" ht="15" customHeight="1" x14ac:dyDescent="0.25">
      <c r="Q572" s="21"/>
      <c r="R572" s="49"/>
      <c r="S572" s="21"/>
      <c r="T572" s="21"/>
    </row>
    <row r="573" spans="17:20" ht="15" customHeight="1" x14ac:dyDescent="0.25">
      <c r="Q573" s="21"/>
      <c r="R573" s="49"/>
      <c r="S573" s="21"/>
      <c r="T573" s="21"/>
    </row>
    <row r="574" spans="17:20" ht="15" customHeight="1" x14ac:dyDescent="0.25">
      <c r="Q574" s="21"/>
      <c r="R574" s="49"/>
      <c r="S574" s="21"/>
      <c r="T574" s="21"/>
    </row>
    <row r="575" spans="17:20" ht="15" customHeight="1" x14ac:dyDescent="0.25">
      <c r="Q575" s="21"/>
      <c r="R575" s="49"/>
      <c r="S575" s="21"/>
      <c r="T575" s="21"/>
    </row>
    <row r="576" spans="17:20" ht="15" customHeight="1" x14ac:dyDescent="0.25">
      <c r="Q576" s="21"/>
      <c r="R576" s="49"/>
      <c r="S576" s="21"/>
      <c r="T576" s="21"/>
    </row>
    <row r="577" spans="17:20" ht="15" customHeight="1" x14ac:dyDescent="0.25">
      <c r="Q577" s="21"/>
      <c r="R577" s="49"/>
      <c r="S577" s="21"/>
      <c r="T577" s="21"/>
    </row>
    <row r="578" spans="17:20" ht="15" customHeight="1" x14ac:dyDescent="0.25">
      <c r="Q578" s="21"/>
      <c r="R578" s="49"/>
      <c r="S578" s="21"/>
      <c r="T578" s="21"/>
    </row>
    <row r="579" spans="17:20" ht="15" customHeight="1" x14ac:dyDescent="0.25">
      <c r="Q579" s="21"/>
      <c r="R579" s="49"/>
      <c r="S579" s="21"/>
      <c r="T579" s="21"/>
    </row>
    <row r="580" spans="17:20" ht="15" customHeight="1" x14ac:dyDescent="0.25">
      <c r="Q580" s="21"/>
      <c r="R580" s="49"/>
      <c r="S580" s="21"/>
      <c r="T580" s="21"/>
    </row>
    <row r="581" spans="17:20" ht="15" customHeight="1" x14ac:dyDescent="0.25">
      <c r="Q581" s="21"/>
      <c r="R581" s="49"/>
      <c r="S581" s="21"/>
      <c r="T581" s="21"/>
    </row>
    <row r="582" spans="17:20" ht="15" customHeight="1" x14ac:dyDescent="0.25">
      <c r="Q582" s="21"/>
      <c r="R582" s="49"/>
      <c r="S582" s="21"/>
      <c r="T582" s="21"/>
    </row>
    <row r="583" spans="17:20" ht="15" customHeight="1" x14ac:dyDescent="0.25">
      <c r="Q583" s="21"/>
      <c r="R583" s="49"/>
      <c r="S583" s="21"/>
      <c r="T583" s="21"/>
    </row>
    <row r="584" spans="17:20" ht="15" customHeight="1" x14ac:dyDescent="0.25">
      <c r="Q584" s="21"/>
      <c r="R584" s="49"/>
      <c r="S584" s="21"/>
      <c r="T584" s="21"/>
    </row>
    <row r="585" spans="17:20" ht="15" customHeight="1" x14ac:dyDescent="0.25">
      <c r="Q585" s="21"/>
      <c r="R585" s="49"/>
      <c r="S585" s="21"/>
      <c r="T585" s="21"/>
    </row>
    <row r="586" spans="17:20" ht="15" customHeight="1" x14ac:dyDescent="0.25">
      <c r="Q586" s="21"/>
      <c r="R586" s="49"/>
      <c r="S586" s="21"/>
      <c r="T586" s="21"/>
    </row>
    <row r="587" spans="17:20" ht="15" customHeight="1" x14ac:dyDescent="0.25">
      <c r="Q587" s="21"/>
      <c r="R587" s="49"/>
      <c r="S587" s="21"/>
      <c r="T587" s="21"/>
    </row>
    <row r="588" spans="17:20" ht="15" customHeight="1" x14ac:dyDescent="0.25">
      <c r="Q588" s="21"/>
      <c r="R588" s="49"/>
      <c r="S588" s="21"/>
      <c r="T588" s="21"/>
    </row>
    <row r="589" spans="17:20" ht="15" customHeight="1" x14ac:dyDescent="0.25">
      <c r="Q589" s="21"/>
      <c r="R589" s="49"/>
      <c r="S589" s="21"/>
      <c r="T589" s="21"/>
    </row>
    <row r="590" spans="17:20" ht="15" customHeight="1" x14ac:dyDescent="0.25">
      <c r="Q590" s="21"/>
      <c r="R590" s="49"/>
      <c r="S590" s="21"/>
      <c r="T590" s="21"/>
    </row>
    <row r="591" spans="17:20" ht="15" customHeight="1" x14ac:dyDescent="0.25">
      <c r="Q591" s="21"/>
      <c r="R591" s="49"/>
      <c r="S591" s="21"/>
      <c r="T591" s="21"/>
    </row>
    <row r="592" spans="17:20" ht="15" customHeight="1" x14ac:dyDescent="0.25">
      <c r="Q592" s="21"/>
      <c r="R592" s="49"/>
      <c r="S592" s="21"/>
      <c r="T592" s="21"/>
    </row>
    <row r="593" spans="17:20" ht="15" customHeight="1" x14ac:dyDescent="0.25">
      <c r="Q593" s="21"/>
      <c r="R593" s="49"/>
      <c r="S593" s="21"/>
      <c r="T593" s="21"/>
    </row>
    <row r="594" spans="17:20" ht="15" customHeight="1" x14ac:dyDescent="0.25">
      <c r="Q594" s="21"/>
      <c r="R594" s="49"/>
      <c r="S594" s="21"/>
      <c r="T594" s="21"/>
    </row>
    <row r="595" spans="17:20" ht="15" customHeight="1" x14ac:dyDescent="0.25">
      <c r="Q595" s="21"/>
      <c r="R595" s="49"/>
      <c r="S595" s="21"/>
      <c r="T595" s="21"/>
    </row>
    <row r="596" spans="17:20" ht="15" customHeight="1" x14ac:dyDescent="0.25">
      <c r="Q596" s="21"/>
      <c r="R596" s="49"/>
      <c r="S596" s="21"/>
      <c r="T596" s="21"/>
    </row>
    <row r="597" spans="17:20" ht="15" customHeight="1" x14ac:dyDescent="0.25">
      <c r="Q597" s="21"/>
      <c r="R597" s="49"/>
      <c r="S597" s="21"/>
      <c r="T597" s="21"/>
    </row>
    <row r="598" spans="17:20" ht="15" customHeight="1" x14ac:dyDescent="0.25">
      <c r="Q598" s="21"/>
      <c r="R598" s="49"/>
      <c r="S598" s="21"/>
      <c r="T598" s="21"/>
    </row>
    <row r="599" spans="17:20" ht="15" customHeight="1" x14ac:dyDescent="0.25">
      <c r="Q599" s="21"/>
      <c r="R599" s="49"/>
      <c r="S599" s="21"/>
      <c r="T599" s="21"/>
    </row>
    <row r="600" spans="17:20" ht="15" customHeight="1" x14ac:dyDescent="0.25">
      <c r="Q600" s="21"/>
      <c r="R600" s="49"/>
      <c r="S600" s="21"/>
      <c r="T600" s="21"/>
    </row>
    <row r="601" spans="17:20" ht="15" customHeight="1" x14ac:dyDescent="0.25">
      <c r="Q601" s="21"/>
      <c r="R601" s="49"/>
      <c r="S601" s="21"/>
      <c r="T601" s="21"/>
    </row>
    <row r="602" spans="17:20" ht="15" customHeight="1" x14ac:dyDescent="0.25">
      <c r="Q602" s="21"/>
      <c r="R602" s="49"/>
      <c r="S602" s="21"/>
      <c r="T602" s="21"/>
    </row>
    <row r="603" spans="17:20" ht="15" customHeight="1" x14ac:dyDescent="0.25">
      <c r="Q603" s="21"/>
      <c r="R603" s="49"/>
      <c r="S603" s="21"/>
      <c r="T603" s="21"/>
    </row>
    <row r="604" spans="17:20" ht="15" customHeight="1" x14ac:dyDescent="0.25">
      <c r="Q604" s="21"/>
      <c r="R604" s="49"/>
      <c r="S604" s="21"/>
      <c r="T604" s="21"/>
    </row>
    <row r="605" spans="17:20" ht="15" customHeight="1" x14ac:dyDescent="0.25">
      <c r="Q605" s="21"/>
      <c r="R605" s="49"/>
      <c r="S605" s="21"/>
      <c r="T605" s="21"/>
    </row>
    <row r="606" spans="17:20" ht="15" customHeight="1" x14ac:dyDescent="0.25">
      <c r="Q606" s="21"/>
      <c r="R606" s="49"/>
      <c r="S606" s="21"/>
      <c r="T606" s="21"/>
    </row>
    <row r="607" spans="17:20" ht="15" customHeight="1" x14ac:dyDescent="0.25">
      <c r="Q607" s="21"/>
      <c r="R607" s="49"/>
      <c r="S607" s="21"/>
      <c r="T607" s="21"/>
    </row>
    <row r="608" spans="17:20" ht="15" customHeight="1" x14ac:dyDescent="0.25">
      <c r="Q608" s="21"/>
      <c r="R608" s="49"/>
      <c r="S608" s="21"/>
      <c r="T608" s="21"/>
    </row>
    <row r="609" spans="17:20" ht="15" customHeight="1" x14ac:dyDescent="0.25">
      <c r="Q609" s="21"/>
      <c r="R609" s="49"/>
      <c r="S609" s="21"/>
      <c r="T609" s="21"/>
    </row>
    <row r="610" spans="17:20" ht="15" customHeight="1" x14ac:dyDescent="0.25">
      <c r="Q610" s="21"/>
      <c r="R610" s="49"/>
      <c r="S610" s="21"/>
      <c r="T610" s="21"/>
    </row>
    <row r="611" spans="17:20" ht="15" customHeight="1" x14ac:dyDescent="0.25">
      <c r="Q611" s="21"/>
      <c r="R611" s="49"/>
      <c r="S611" s="21"/>
      <c r="T611" s="21"/>
    </row>
    <row r="612" spans="17:20" ht="15" customHeight="1" x14ac:dyDescent="0.25">
      <c r="Q612" s="21"/>
      <c r="R612" s="49"/>
      <c r="S612" s="21"/>
      <c r="T612" s="21"/>
    </row>
    <row r="613" spans="17:20" ht="15" customHeight="1" x14ac:dyDescent="0.25">
      <c r="Q613" s="21"/>
      <c r="R613" s="49"/>
      <c r="S613" s="21"/>
      <c r="T613" s="21"/>
    </row>
    <row r="614" spans="17:20" ht="15" customHeight="1" x14ac:dyDescent="0.25">
      <c r="Q614" s="21"/>
      <c r="R614" s="49"/>
      <c r="S614" s="21"/>
      <c r="T614" s="21"/>
    </row>
    <row r="615" spans="17:20" ht="15" customHeight="1" x14ac:dyDescent="0.25">
      <c r="Q615" s="21"/>
      <c r="R615" s="49"/>
      <c r="S615" s="21"/>
      <c r="T615" s="21"/>
    </row>
    <row r="616" spans="17:20" ht="15" customHeight="1" x14ac:dyDescent="0.25">
      <c r="Q616" s="21"/>
      <c r="R616" s="49"/>
      <c r="S616" s="21"/>
      <c r="T616" s="21"/>
    </row>
    <row r="617" spans="17:20" ht="15" customHeight="1" x14ac:dyDescent="0.25">
      <c r="Q617" s="21"/>
      <c r="R617" s="49"/>
      <c r="S617" s="21"/>
      <c r="T617" s="21"/>
    </row>
    <row r="618" spans="17:20" ht="15" customHeight="1" x14ac:dyDescent="0.25">
      <c r="Q618" s="21"/>
      <c r="R618" s="49"/>
      <c r="S618" s="21"/>
      <c r="T618" s="21"/>
    </row>
    <row r="619" spans="17:20" ht="15" customHeight="1" x14ac:dyDescent="0.25">
      <c r="Q619" s="21"/>
      <c r="R619" s="49"/>
      <c r="S619" s="21"/>
      <c r="T619" s="21"/>
    </row>
    <row r="620" spans="17:20" ht="15" customHeight="1" x14ac:dyDescent="0.25">
      <c r="Q620" s="21"/>
      <c r="R620" s="49"/>
      <c r="S620" s="21"/>
      <c r="T620" s="21"/>
    </row>
    <row r="621" spans="17:20" ht="15" customHeight="1" x14ac:dyDescent="0.25">
      <c r="Q621" s="21"/>
      <c r="R621" s="49"/>
      <c r="S621" s="21"/>
      <c r="T621" s="21"/>
    </row>
    <row r="622" spans="17:20" ht="15" customHeight="1" x14ac:dyDescent="0.25">
      <c r="Q622" s="21"/>
      <c r="R622" s="49"/>
      <c r="S622" s="21"/>
      <c r="T622" s="21"/>
    </row>
    <row r="623" spans="17:20" ht="15" customHeight="1" x14ac:dyDescent="0.25">
      <c r="Q623" s="21"/>
      <c r="R623" s="49"/>
      <c r="S623" s="21"/>
      <c r="T623" s="21"/>
    </row>
    <row r="624" spans="17:20" ht="15" customHeight="1" x14ac:dyDescent="0.25">
      <c r="Q624" s="21"/>
      <c r="R624" s="49"/>
      <c r="S624" s="21"/>
      <c r="T624" s="21"/>
    </row>
    <row r="625" spans="17:20" ht="15" customHeight="1" x14ac:dyDescent="0.25">
      <c r="Q625" s="21"/>
      <c r="R625" s="49"/>
      <c r="S625" s="21"/>
      <c r="T625" s="21"/>
    </row>
    <row r="626" spans="17:20" ht="15" customHeight="1" x14ac:dyDescent="0.25">
      <c r="Q626" s="21"/>
      <c r="R626" s="49"/>
      <c r="S626" s="21"/>
      <c r="T626" s="21"/>
    </row>
    <row r="627" spans="17:20" ht="15" customHeight="1" x14ac:dyDescent="0.25">
      <c r="Q627" s="21"/>
      <c r="R627" s="49"/>
      <c r="S627" s="21"/>
      <c r="T627" s="21"/>
    </row>
    <row r="628" spans="17:20" ht="15" customHeight="1" x14ac:dyDescent="0.25">
      <c r="Q628" s="21"/>
      <c r="R628" s="49"/>
      <c r="S628" s="21"/>
      <c r="T628" s="21"/>
    </row>
    <row r="629" spans="17:20" ht="15" customHeight="1" x14ac:dyDescent="0.25">
      <c r="Q629" s="21"/>
      <c r="R629" s="49"/>
      <c r="S629" s="21"/>
      <c r="T629" s="21"/>
    </row>
    <row r="630" spans="17:20" ht="15" customHeight="1" x14ac:dyDescent="0.25">
      <c r="Q630" s="21"/>
      <c r="R630" s="49"/>
      <c r="S630" s="21"/>
      <c r="T630" s="21"/>
    </row>
    <row r="631" spans="17:20" ht="15" customHeight="1" x14ac:dyDescent="0.25">
      <c r="Q631" s="21"/>
      <c r="R631" s="49"/>
      <c r="S631" s="21"/>
      <c r="T631" s="21"/>
    </row>
    <row r="632" spans="17:20" ht="15" customHeight="1" x14ac:dyDescent="0.25">
      <c r="Q632" s="21"/>
      <c r="R632" s="49"/>
      <c r="S632" s="21"/>
      <c r="T632" s="21"/>
    </row>
    <row r="633" spans="17:20" ht="15" customHeight="1" x14ac:dyDescent="0.25">
      <c r="Q633" s="21"/>
      <c r="R633" s="49"/>
      <c r="S633" s="21"/>
      <c r="T633" s="21"/>
    </row>
    <row r="634" spans="17:20" ht="15" customHeight="1" x14ac:dyDescent="0.25">
      <c r="Q634" s="21"/>
      <c r="R634" s="49"/>
      <c r="S634" s="21"/>
      <c r="T634" s="21"/>
    </row>
    <row r="635" spans="17:20" ht="15" customHeight="1" x14ac:dyDescent="0.25">
      <c r="Q635" s="21"/>
      <c r="R635" s="49"/>
      <c r="S635" s="21"/>
      <c r="T635" s="21"/>
    </row>
    <row r="636" spans="17:20" ht="15" customHeight="1" x14ac:dyDescent="0.25">
      <c r="Q636" s="21"/>
      <c r="R636" s="49"/>
      <c r="S636" s="21"/>
      <c r="T636" s="21"/>
    </row>
    <row r="637" spans="17:20" ht="15" customHeight="1" x14ac:dyDescent="0.25">
      <c r="Q637" s="21"/>
      <c r="R637" s="49"/>
      <c r="S637" s="21"/>
      <c r="T637" s="21"/>
    </row>
    <row r="638" spans="17:20" ht="15" customHeight="1" x14ac:dyDescent="0.25">
      <c r="Q638" s="21"/>
      <c r="R638" s="49"/>
      <c r="S638" s="21"/>
      <c r="T638" s="21"/>
    </row>
    <row r="639" spans="17:20" ht="15" customHeight="1" x14ac:dyDescent="0.25">
      <c r="Q639" s="21"/>
      <c r="R639" s="49"/>
      <c r="S639" s="21"/>
      <c r="T639" s="21"/>
    </row>
    <row r="640" spans="17:20" ht="15" customHeight="1" x14ac:dyDescent="0.25">
      <c r="Q640" s="21"/>
      <c r="R640" s="49"/>
      <c r="S640" s="21"/>
      <c r="T640" s="21"/>
    </row>
    <row r="641" spans="17:20" ht="15" customHeight="1" x14ac:dyDescent="0.25">
      <c r="Q641" s="21"/>
      <c r="R641" s="49"/>
      <c r="S641" s="21"/>
      <c r="T641" s="21"/>
    </row>
    <row r="642" spans="17:20" ht="15" customHeight="1" x14ac:dyDescent="0.25">
      <c r="Q642" s="21"/>
      <c r="R642" s="49"/>
      <c r="S642" s="21"/>
      <c r="T642" s="21"/>
    </row>
    <row r="643" spans="17:20" ht="15" customHeight="1" x14ac:dyDescent="0.25">
      <c r="Q643" s="21"/>
      <c r="R643" s="49"/>
      <c r="S643" s="21"/>
      <c r="T643" s="21"/>
    </row>
    <row r="644" spans="17:20" ht="15" customHeight="1" x14ac:dyDescent="0.25">
      <c r="Q644" s="21"/>
      <c r="R644" s="49"/>
      <c r="S644" s="21"/>
      <c r="T644" s="21"/>
    </row>
    <row r="645" spans="17:20" ht="15" customHeight="1" x14ac:dyDescent="0.25">
      <c r="Q645" s="21"/>
      <c r="R645" s="49"/>
      <c r="S645" s="21"/>
      <c r="T645" s="21"/>
    </row>
    <row r="646" spans="17:20" ht="15" customHeight="1" x14ac:dyDescent="0.25">
      <c r="Q646" s="21"/>
      <c r="R646" s="49"/>
      <c r="S646" s="21"/>
      <c r="T646" s="21"/>
    </row>
    <row r="647" spans="17:20" ht="15" customHeight="1" x14ac:dyDescent="0.25">
      <c r="Q647" s="21"/>
      <c r="R647" s="49"/>
      <c r="S647" s="21"/>
      <c r="T647" s="21"/>
    </row>
    <row r="648" spans="17:20" ht="15" customHeight="1" x14ac:dyDescent="0.25">
      <c r="Q648" s="21"/>
      <c r="R648" s="49"/>
      <c r="S648" s="21"/>
      <c r="T648" s="21"/>
    </row>
    <row r="649" spans="17:20" ht="15" customHeight="1" x14ac:dyDescent="0.25">
      <c r="Q649" s="21"/>
      <c r="R649" s="49"/>
      <c r="S649" s="21"/>
      <c r="T649" s="21"/>
    </row>
    <row r="650" spans="17:20" ht="15" customHeight="1" x14ac:dyDescent="0.25">
      <c r="Q650" s="21"/>
      <c r="R650" s="49"/>
      <c r="S650" s="21"/>
      <c r="T650" s="21"/>
    </row>
    <row r="651" spans="17:20" ht="15" customHeight="1" x14ac:dyDescent="0.25">
      <c r="Q651" s="21"/>
      <c r="R651" s="49"/>
      <c r="S651" s="21"/>
      <c r="T651" s="21"/>
    </row>
    <row r="652" spans="17:20" ht="15" customHeight="1" x14ac:dyDescent="0.25">
      <c r="Q652" s="21"/>
      <c r="R652" s="49"/>
      <c r="S652" s="21"/>
      <c r="T652" s="21"/>
    </row>
    <row r="653" spans="17:20" ht="15" customHeight="1" x14ac:dyDescent="0.25">
      <c r="Q653" s="21"/>
      <c r="R653" s="49"/>
      <c r="S653" s="21"/>
      <c r="T653" s="21"/>
    </row>
    <row r="654" spans="17:20" ht="15" customHeight="1" x14ac:dyDescent="0.25">
      <c r="Q654" s="21"/>
      <c r="R654" s="49"/>
      <c r="S654" s="21"/>
      <c r="T654" s="21"/>
    </row>
    <row r="655" spans="17:20" ht="15" customHeight="1" x14ac:dyDescent="0.25">
      <c r="Q655" s="21"/>
      <c r="R655" s="49"/>
      <c r="S655" s="21"/>
      <c r="T655" s="21"/>
    </row>
    <row r="656" spans="17:20" ht="15" customHeight="1" x14ac:dyDescent="0.25">
      <c r="Q656" s="21"/>
      <c r="R656" s="49"/>
      <c r="S656" s="21"/>
      <c r="T656" s="21"/>
    </row>
    <row r="657" spans="17:20" ht="15" customHeight="1" x14ac:dyDescent="0.25">
      <c r="Q657" s="21"/>
      <c r="R657" s="49"/>
      <c r="S657" s="21"/>
      <c r="T657" s="21"/>
    </row>
    <row r="658" spans="17:20" ht="15" customHeight="1" x14ac:dyDescent="0.25">
      <c r="Q658" s="21"/>
      <c r="R658" s="49"/>
      <c r="S658" s="21"/>
      <c r="T658" s="21"/>
    </row>
    <row r="659" spans="17:20" ht="15" customHeight="1" x14ac:dyDescent="0.25">
      <c r="Q659" s="21"/>
      <c r="R659" s="49"/>
      <c r="S659" s="21"/>
      <c r="T659" s="21"/>
    </row>
    <row r="660" spans="17:20" ht="15" customHeight="1" x14ac:dyDescent="0.25">
      <c r="Q660" s="21"/>
      <c r="R660" s="49"/>
      <c r="S660" s="21"/>
      <c r="T660" s="21"/>
    </row>
    <row r="661" spans="17:20" ht="15" customHeight="1" x14ac:dyDescent="0.25">
      <c r="Q661" s="21"/>
      <c r="R661" s="49"/>
      <c r="S661" s="21"/>
      <c r="T661" s="21"/>
    </row>
    <row r="662" spans="17:20" ht="15" customHeight="1" x14ac:dyDescent="0.25">
      <c r="Q662" s="21"/>
      <c r="R662" s="49"/>
      <c r="S662" s="21"/>
      <c r="T662" s="21"/>
    </row>
    <row r="663" spans="17:20" ht="15" customHeight="1" x14ac:dyDescent="0.25">
      <c r="Q663" s="21"/>
      <c r="R663" s="49"/>
      <c r="S663" s="21"/>
      <c r="T663" s="21"/>
    </row>
    <row r="664" spans="17:20" ht="15" customHeight="1" x14ac:dyDescent="0.25">
      <c r="Q664" s="21"/>
      <c r="R664" s="49"/>
      <c r="S664" s="21"/>
      <c r="T664" s="21"/>
    </row>
    <row r="665" spans="17:20" ht="15" customHeight="1" x14ac:dyDescent="0.25">
      <c r="Q665" s="21"/>
      <c r="R665" s="49"/>
      <c r="S665" s="21"/>
      <c r="T665" s="21"/>
    </row>
    <row r="666" spans="17:20" ht="15" customHeight="1" x14ac:dyDescent="0.25">
      <c r="Q666" s="21"/>
      <c r="R666" s="49"/>
      <c r="S666" s="21"/>
      <c r="T666" s="21"/>
    </row>
    <row r="667" spans="17:20" ht="15" customHeight="1" x14ac:dyDescent="0.25">
      <c r="Q667" s="21"/>
      <c r="R667" s="49"/>
      <c r="S667" s="21"/>
      <c r="T667" s="21"/>
    </row>
    <row r="668" spans="17:20" ht="15" customHeight="1" x14ac:dyDescent="0.25">
      <c r="Q668" s="21"/>
      <c r="R668" s="49"/>
      <c r="S668" s="21"/>
      <c r="T668" s="21"/>
    </row>
    <row r="669" spans="17:20" ht="15" customHeight="1" x14ac:dyDescent="0.25">
      <c r="Q669" s="21"/>
      <c r="R669" s="49"/>
      <c r="S669" s="21"/>
      <c r="T669" s="21"/>
    </row>
    <row r="670" spans="17:20" ht="15" customHeight="1" x14ac:dyDescent="0.25">
      <c r="Q670" s="21"/>
      <c r="R670" s="49"/>
      <c r="S670" s="21"/>
      <c r="T670" s="21"/>
    </row>
    <row r="671" spans="17:20" ht="15" customHeight="1" x14ac:dyDescent="0.25">
      <c r="Q671" s="21"/>
      <c r="R671" s="49"/>
      <c r="S671" s="21"/>
      <c r="T671" s="21"/>
    </row>
    <row r="672" spans="17:20" ht="15" customHeight="1" x14ac:dyDescent="0.25">
      <c r="Q672" s="21"/>
      <c r="R672" s="49"/>
      <c r="S672" s="21"/>
      <c r="T672" s="21"/>
    </row>
    <row r="673" spans="17:20" ht="15" customHeight="1" x14ac:dyDescent="0.25">
      <c r="Q673" s="21"/>
      <c r="R673" s="49"/>
      <c r="S673" s="21"/>
      <c r="T673" s="21"/>
    </row>
    <row r="674" spans="17:20" ht="15" customHeight="1" x14ac:dyDescent="0.25">
      <c r="Q674" s="21"/>
      <c r="R674" s="49"/>
      <c r="S674" s="21"/>
      <c r="T674" s="21"/>
    </row>
    <row r="675" spans="17:20" ht="15" customHeight="1" x14ac:dyDescent="0.25">
      <c r="Q675" s="21"/>
      <c r="R675" s="49"/>
      <c r="S675" s="21"/>
      <c r="T675" s="21"/>
    </row>
    <row r="676" spans="17:20" ht="15" customHeight="1" x14ac:dyDescent="0.25">
      <c r="Q676" s="21"/>
      <c r="R676" s="49"/>
      <c r="S676" s="21"/>
      <c r="T676" s="21"/>
    </row>
    <row r="677" spans="17:20" ht="15" customHeight="1" x14ac:dyDescent="0.25">
      <c r="Q677" s="21"/>
      <c r="R677" s="49"/>
      <c r="S677" s="21"/>
      <c r="T677" s="21"/>
    </row>
    <row r="678" spans="17:20" ht="15" customHeight="1" x14ac:dyDescent="0.25">
      <c r="Q678" s="21"/>
      <c r="R678" s="49"/>
      <c r="S678" s="21"/>
      <c r="T678" s="21"/>
    </row>
    <row r="679" spans="17:20" ht="15" customHeight="1" x14ac:dyDescent="0.25">
      <c r="Q679" s="21"/>
      <c r="R679" s="49"/>
      <c r="S679" s="21"/>
      <c r="T679" s="21"/>
    </row>
    <row r="680" spans="17:20" ht="15" customHeight="1" x14ac:dyDescent="0.25">
      <c r="Q680" s="21"/>
      <c r="R680" s="49"/>
      <c r="S680" s="21"/>
      <c r="T680" s="21"/>
    </row>
    <row r="681" spans="17:20" ht="15" customHeight="1" x14ac:dyDescent="0.25">
      <c r="Q681" s="21"/>
      <c r="R681" s="49"/>
      <c r="S681" s="21"/>
      <c r="T681" s="21"/>
    </row>
    <row r="682" spans="17:20" ht="15" customHeight="1" x14ac:dyDescent="0.25">
      <c r="Q682" s="21"/>
      <c r="R682" s="49"/>
      <c r="S682" s="21"/>
      <c r="T682" s="21"/>
    </row>
    <row r="683" spans="17:20" ht="15" customHeight="1" x14ac:dyDescent="0.25">
      <c r="Q683" s="21"/>
      <c r="R683" s="49"/>
      <c r="S683" s="21"/>
      <c r="T683" s="21"/>
    </row>
    <row r="684" spans="17:20" ht="15" customHeight="1" x14ac:dyDescent="0.25">
      <c r="Q684" s="21"/>
      <c r="R684" s="49"/>
      <c r="S684" s="21"/>
      <c r="T684" s="21"/>
    </row>
    <row r="685" spans="17:20" ht="15" customHeight="1" x14ac:dyDescent="0.25">
      <c r="Q685" s="21"/>
      <c r="R685" s="49"/>
      <c r="S685" s="21"/>
      <c r="T685" s="21"/>
    </row>
    <row r="686" spans="17:20" ht="15" customHeight="1" x14ac:dyDescent="0.25">
      <c r="Q686" s="21"/>
      <c r="R686" s="49"/>
      <c r="S686" s="21"/>
      <c r="T686" s="21"/>
    </row>
    <row r="687" spans="17:20" ht="15" customHeight="1" x14ac:dyDescent="0.25">
      <c r="Q687" s="21"/>
      <c r="R687" s="49"/>
      <c r="S687" s="21"/>
      <c r="T687" s="21"/>
    </row>
    <row r="688" spans="17:20" ht="15" customHeight="1" x14ac:dyDescent="0.25">
      <c r="Q688" s="21"/>
      <c r="R688" s="49"/>
      <c r="S688" s="21"/>
      <c r="T688" s="21"/>
    </row>
    <row r="689" spans="17:20" ht="15" customHeight="1" x14ac:dyDescent="0.25">
      <c r="Q689" s="21"/>
      <c r="R689" s="49"/>
      <c r="S689" s="21"/>
      <c r="T689" s="21"/>
    </row>
    <row r="690" spans="17:20" ht="15" customHeight="1" x14ac:dyDescent="0.25">
      <c r="Q690" s="21"/>
      <c r="R690" s="49"/>
      <c r="S690" s="21"/>
      <c r="T690" s="21"/>
    </row>
    <row r="691" spans="17:20" ht="15" customHeight="1" x14ac:dyDescent="0.25">
      <c r="Q691" s="21"/>
      <c r="R691" s="49"/>
      <c r="S691" s="21"/>
      <c r="T691" s="21"/>
    </row>
    <row r="692" spans="17:20" ht="15" customHeight="1" x14ac:dyDescent="0.25">
      <c r="Q692" s="21"/>
      <c r="R692" s="49"/>
      <c r="S692" s="21"/>
      <c r="T692" s="21"/>
    </row>
    <row r="693" spans="17:20" ht="15" customHeight="1" x14ac:dyDescent="0.25">
      <c r="Q693" s="21"/>
      <c r="R693" s="49"/>
      <c r="S693" s="21"/>
      <c r="T693" s="21"/>
    </row>
    <row r="694" spans="17:20" ht="15" customHeight="1" x14ac:dyDescent="0.25">
      <c r="Q694" s="21"/>
      <c r="R694" s="49"/>
      <c r="S694" s="21"/>
      <c r="T694" s="21"/>
    </row>
    <row r="695" spans="17:20" ht="15" customHeight="1" x14ac:dyDescent="0.25">
      <c r="Q695" s="21"/>
      <c r="R695" s="49"/>
      <c r="S695" s="21"/>
      <c r="T695" s="21"/>
    </row>
    <row r="696" spans="17:20" ht="15" customHeight="1" x14ac:dyDescent="0.25">
      <c r="Q696" s="21"/>
      <c r="R696" s="49"/>
      <c r="S696" s="21"/>
      <c r="T696" s="21"/>
    </row>
    <row r="697" spans="17:20" ht="15" customHeight="1" x14ac:dyDescent="0.25">
      <c r="Q697" s="21"/>
      <c r="R697" s="49"/>
      <c r="S697" s="21"/>
      <c r="T697" s="21"/>
    </row>
    <row r="698" spans="17:20" ht="15" customHeight="1" x14ac:dyDescent="0.25">
      <c r="Q698" s="21"/>
      <c r="R698" s="49"/>
      <c r="S698" s="21"/>
      <c r="T698" s="21"/>
    </row>
    <row r="699" spans="17:20" ht="15" customHeight="1" x14ac:dyDescent="0.25">
      <c r="Q699" s="21"/>
      <c r="R699" s="49"/>
      <c r="S699" s="21"/>
      <c r="T699" s="21"/>
    </row>
    <row r="700" spans="17:20" ht="15" customHeight="1" x14ac:dyDescent="0.25">
      <c r="Q700" s="21"/>
      <c r="R700" s="49"/>
      <c r="S700" s="21"/>
      <c r="T700" s="21"/>
    </row>
    <row r="701" spans="17:20" ht="15" customHeight="1" x14ac:dyDescent="0.25">
      <c r="Q701" s="21"/>
      <c r="R701" s="49"/>
      <c r="S701" s="21"/>
      <c r="T701" s="21"/>
    </row>
    <row r="702" spans="17:20" ht="15" customHeight="1" x14ac:dyDescent="0.25">
      <c r="Q702" s="21"/>
      <c r="R702" s="49"/>
      <c r="S702" s="21"/>
      <c r="T702" s="21"/>
    </row>
    <row r="703" spans="17:20" ht="15" customHeight="1" x14ac:dyDescent="0.25">
      <c r="Q703" s="21"/>
      <c r="R703" s="49"/>
      <c r="S703" s="21"/>
      <c r="T703" s="21"/>
    </row>
    <row r="704" spans="17:20" ht="15" customHeight="1" x14ac:dyDescent="0.25">
      <c r="Q704" s="21"/>
      <c r="R704" s="49"/>
      <c r="S704" s="21"/>
      <c r="T704" s="21"/>
    </row>
    <row r="705" spans="17:20" ht="15" customHeight="1" x14ac:dyDescent="0.25">
      <c r="Q705" s="21"/>
      <c r="R705" s="49"/>
      <c r="S705" s="21"/>
      <c r="T705" s="21"/>
    </row>
    <row r="706" spans="17:20" ht="15" customHeight="1" x14ac:dyDescent="0.25">
      <c r="Q706" s="21"/>
      <c r="R706" s="49"/>
      <c r="S706" s="21"/>
      <c r="T706" s="21"/>
    </row>
    <row r="707" spans="17:20" ht="15" customHeight="1" x14ac:dyDescent="0.25">
      <c r="Q707" s="21"/>
      <c r="R707" s="49"/>
      <c r="S707" s="21"/>
      <c r="T707" s="21"/>
    </row>
    <row r="708" spans="17:20" ht="15" customHeight="1" x14ac:dyDescent="0.25">
      <c r="Q708" s="21"/>
      <c r="R708" s="49"/>
      <c r="S708" s="21"/>
      <c r="T708" s="21"/>
    </row>
    <row r="709" spans="17:20" ht="15" customHeight="1" x14ac:dyDescent="0.25">
      <c r="Q709" s="21"/>
      <c r="R709" s="49"/>
      <c r="S709" s="21"/>
      <c r="T709" s="21"/>
    </row>
    <row r="710" spans="17:20" ht="15" customHeight="1" x14ac:dyDescent="0.25">
      <c r="Q710" s="21"/>
      <c r="R710" s="49"/>
      <c r="S710" s="21"/>
      <c r="T710" s="21"/>
    </row>
    <row r="711" spans="17:20" ht="15" customHeight="1" x14ac:dyDescent="0.25">
      <c r="Q711" s="21"/>
      <c r="R711" s="49"/>
      <c r="S711" s="21"/>
      <c r="T711" s="21"/>
    </row>
    <row r="712" spans="17:20" ht="15" customHeight="1" x14ac:dyDescent="0.25">
      <c r="Q712" s="21"/>
      <c r="R712" s="49"/>
      <c r="S712" s="21"/>
      <c r="T712" s="21"/>
    </row>
    <row r="713" spans="17:20" ht="15" customHeight="1" x14ac:dyDescent="0.25">
      <c r="Q713" s="21"/>
      <c r="R713" s="49"/>
      <c r="S713" s="21"/>
      <c r="T713" s="21"/>
    </row>
    <row r="714" spans="17:20" ht="15" customHeight="1" x14ac:dyDescent="0.25">
      <c r="Q714" s="21"/>
      <c r="R714" s="49"/>
      <c r="S714" s="21"/>
      <c r="T714" s="21"/>
    </row>
    <row r="715" spans="17:20" ht="15" customHeight="1" x14ac:dyDescent="0.25">
      <c r="Q715" s="21"/>
      <c r="R715" s="49"/>
      <c r="S715" s="21"/>
      <c r="T715" s="21"/>
    </row>
    <row r="716" spans="17:20" ht="15" customHeight="1" x14ac:dyDescent="0.25">
      <c r="Q716" s="21"/>
      <c r="R716" s="49"/>
      <c r="S716" s="21"/>
      <c r="T716" s="21"/>
    </row>
    <row r="717" spans="17:20" ht="15" customHeight="1" x14ac:dyDescent="0.25">
      <c r="Q717" s="21"/>
      <c r="R717" s="49"/>
      <c r="S717" s="21"/>
      <c r="T717" s="21"/>
    </row>
    <row r="718" spans="17:20" ht="15" customHeight="1" x14ac:dyDescent="0.25">
      <c r="Q718" s="21"/>
      <c r="R718" s="49"/>
      <c r="S718" s="21"/>
      <c r="T718" s="21"/>
    </row>
    <row r="719" spans="17:20" ht="15" customHeight="1" x14ac:dyDescent="0.25">
      <c r="Q719" s="21"/>
      <c r="R719" s="49"/>
      <c r="S719" s="21"/>
      <c r="T719" s="21"/>
    </row>
    <row r="720" spans="17:20" ht="15" customHeight="1" x14ac:dyDescent="0.25">
      <c r="Q720" s="21"/>
      <c r="R720" s="49"/>
      <c r="S720" s="21"/>
      <c r="T720" s="21"/>
    </row>
    <row r="721" spans="17:20" ht="15" customHeight="1" x14ac:dyDescent="0.25">
      <c r="Q721" s="21"/>
      <c r="R721" s="49"/>
      <c r="S721" s="21"/>
      <c r="T721" s="21"/>
    </row>
    <row r="722" spans="17:20" ht="15" customHeight="1" x14ac:dyDescent="0.25">
      <c r="Q722" s="21"/>
      <c r="R722" s="49"/>
      <c r="S722" s="21"/>
      <c r="T722" s="21"/>
    </row>
    <row r="723" spans="17:20" ht="15" customHeight="1" x14ac:dyDescent="0.25">
      <c r="Q723" s="21"/>
      <c r="R723" s="49"/>
      <c r="S723" s="21"/>
      <c r="T723" s="21"/>
    </row>
    <row r="724" spans="17:20" ht="15" customHeight="1" x14ac:dyDescent="0.25">
      <c r="Q724" s="21"/>
      <c r="R724" s="49"/>
      <c r="S724" s="21"/>
      <c r="T724" s="21"/>
    </row>
    <row r="725" spans="17:20" ht="15" customHeight="1" x14ac:dyDescent="0.25">
      <c r="Q725" s="21"/>
      <c r="R725" s="49"/>
      <c r="S725" s="21"/>
      <c r="T725" s="21"/>
    </row>
    <row r="726" spans="17:20" ht="15" customHeight="1" x14ac:dyDescent="0.25">
      <c r="Q726" s="21"/>
      <c r="R726" s="49"/>
      <c r="S726" s="21"/>
      <c r="T726" s="21"/>
    </row>
    <row r="727" spans="17:20" ht="15" customHeight="1" x14ac:dyDescent="0.25">
      <c r="Q727" s="21"/>
      <c r="R727" s="49"/>
      <c r="S727" s="21"/>
      <c r="T727" s="21"/>
    </row>
    <row r="728" spans="17:20" ht="15" customHeight="1" x14ac:dyDescent="0.25">
      <c r="Q728" s="21"/>
      <c r="R728" s="49"/>
      <c r="S728" s="21"/>
      <c r="T728" s="21"/>
    </row>
    <row r="729" spans="17:20" ht="15" customHeight="1" x14ac:dyDescent="0.25">
      <c r="Q729" s="21"/>
      <c r="R729" s="49"/>
      <c r="S729" s="21"/>
      <c r="T729" s="21"/>
    </row>
    <row r="730" spans="17:20" ht="15" customHeight="1" x14ac:dyDescent="0.25">
      <c r="Q730" s="21"/>
      <c r="R730" s="49"/>
      <c r="S730" s="21"/>
      <c r="T730" s="21"/>
    </row>
    <row r="731" spans="17:20" ht="15" customHeight="1" x14ac:dyDescent="0.25">
      <c r="Q731" s="21"/>
      <c r="R731" s="49"/>
      <c r="S731" s="21"/>
      <c r="T731" s="21"/>
    </row>
    <row r="732" spans="17:20" ht="15" customHeight="1" x14ac:dyDescent="0.25">
      <c r="Q732" s="21"/>
      <c r="R732" s="49"/>
      <c r="S732" s="21"/>
      <c r="T732" s="21"/>
    </row>
    <row r="733" spans="17:20" ht="15" customHeight="1" x14ac:dyDescent="0.25">
      <c r="Q733" s="21"/>
      <c r="R733" s="49"/>
      <c r="S733" s="21"/>
      <c r="T733" s="21"/>
    </row>
    <row r="734" spans="17:20" ht="15" customHeight="1" x14ac:dyDescent="0.25">
      <c r="Q734" s="21"/>
      <c r="R734" s="49"/>
      <c r="S734" s="21"/>
      <c r="T734" s="21"/>
    </row>
    <row r="735" spans="17:20" ht="15" customHeight="1" x14ac:dyDescent="0.25">
      <c r="Q735" s="21"/>
      <c r="R735" s="49"/>
      <c r="S735" s="21"/>
      <c r="T735" s="21"/>
    </row>
    <row r="736" spans="17:20" ht="15" customHeight="1" x14ac:dyDescent="0.25">
      <c r="Q736" s="21"/>
      <c r="R736" s="49"/>
      <c r="S736" s="21"/>
      <c r="T736" s="21"/>
    </row>
    <row r="737" spans="17:20" ht="15" customHeight="1" x14ac:dyDescent="0.25">
      <c r="Q737" s="21"/>
      <c r="R737" s="49"/>
      <c r="S737" s="21"/>
      <c r="T737" s="21"/>
    </row>
    <row r="738" spans="17:20" ht="15" customHeight="1" x14ac:dyDescent="0.25">
      <c r="Q738" s="21"/>
      <c r="R738" s="49"/>
      <c r="S738" s="21"/>
      <c r="T738" s="21"/>
    </row>
    <row r="739" spans="17:20" ht="15" customHeight="1" x14ac:dyDescent="0.25">
      <c r="Q739" s="21"/>
      <c r="R739" s="49"/>
      <c r="S739" s="21"/>
      <c r="T739" s="21"/>
    </row>
    <row r="740" spans="17:20" ht="15" customHeight="1" x14ac:dyDescent="0.25">
      <c r="Q740" s="21"/>
      <c r="R740" s="49"/>
      <c r="S740" s="21"/>
      <c r="T740" s="21"/>
    </row>
    <row r="741" spans="17:20" ht="15" customHeight="1" x14ac:dyDescent="0.25">
      <c r="Q741" s="21"/>
      <c r="R741" s="49"/>
      <c r="S741" s="21"/>
      <c r="T741" s="21"/>
    </row>
    <row r="742" spans="17:20" ht="15" customHeight="1" x14ac:dyDescent="0.25">
      <c r="Q742" s="21"/>
      <c r="R742" s="49"/>
      <c r="S742" s="21"/>
      <c r="T742" s="21"/>
    </row>
    <row r="743" spans="17:20" ht="15" customHeight="1" x14ac:dyDescent="0.25">
      <c r="Q743" s="21"/>
      <c r="R743" s="49"/>
      <c r="S743" s="21"/>
      <c r="T743" s="21"/>
    </row>
    <row r="744" spans="17:20" ht="15" customHeight="1" x14ac:dyDescent="0.25">
      <c r="Q744" s="21"/>
      <c r="R744" s="49"/>
      <c r="S744" s="21"/>
      <c r="T744" s="21"/>
    </row>
    <row r="745" spans="17:20" ht="15" customHeight="1" x14ac:dyDescent="0.25">
      <c r="Q745" s="21"/>
      <c r="R745" s="49"/>
      <c r="S745" s="21"/>
      <c r="T745" s="21"/>
    </row>
    <row r="746" spans="17:20" ht="15" customHeight="1" x14ac:dyDescent="0.25">
      <c r="Q746" s="21"/>
      <c r="R746" s="49"/>
      <c r="S746" s="21"/>
      <c r="T746" s="21"/>
    </row>
    <row r="747" spans="17:20" ht="15" customHeight="1" x14ac:dyDescent="0.25">
      <c r="Q747" s="21"/>
      <c r="R747" s="49"/>
      <c r="S747" s="21"/>
      <c r="T747" s="21"/>
    </row>
    <row r="748" spans="17:20" ht="15" customHeight="1" x14ac:dyDescent="0.25">
      <c r="Q748" s="21"/>
      <c r="R748" s="49"/>
      <c r="S748" s="21"/>
      <c r="T748" s="21"/>
    </row>
    <row r="749" spans="17:20" ht="15" customHeight="1" x14ac:dyDescent="0.25">
      <c r="Q749" s="21"/>
      <c r="R749" s="49"/>
      <c r="S749" s="21"/>
      <c r="T749" s="21"/>
    </row>
    <row r="750" spans="17:20" ht="15" customHeight="1" x14ac:dyDescent="0.25">
      <c r="Q750" s="21"/>
      <c r="R750" s="49"/>
      <c r="S750" s="21"/>
      <c r="T750" s="21"/>
    </row>
    <row r="751" spans="17:20" ht="15" customHeight="1" x14ac:dyDescent="0.25">
      <c r="Q751" s="21"/>
      <c r="R751" s="49"/>
      <c r="S751" s="21"/>
      <c r="T751" s="21"/>
    </row>
    <row r="752" spans="17:20" ht="15" customHeight="1" x14ac:dyDescent="0.25">
      <c r="Q752" s="21"/>
      <c r="R752" s="49"/>
      <c r="S752" s="21"/>
      <c r="T752" s="21"/>
    </row>
    <row r="753" spans="17:20" ht="15" customHeight="1" x14ac:dyDescent="0.25">
      <c r="Q753" s="21"/>
      <c r="R753" s="49"/>
      <c r="S753" s="21"/>
      <c r="T753" s="21"/>
    </row>
    <row r="754" spans="17:20" ht="15" customHeight="1" x14ac:dyDescent="0.25">
      <c r="Q754" s="21"/>
      <c r="R754" s="49"/>
      <c r="S754" s="21"/>
      <c r="T754" s="21"/>
    </row>
    <row r="755" spans="17:20" ht="15" customHeight="1" x14ac:dyDescent="0.25">
      <c r="Q755" s="21"/>
      <c r="R755" s="49"/>
      <c r="S755" s="21"/>
      <c r="T755" s="21"/>
    </row>
    <row r="756" spans="17:20" ht="15" customHeight="1" x14ac:dyDescent="0.25">
      <c r="Q756" s="21"/>
      <c r="R756" s="49"/>
      <c r="S756" s="21"/>
      <c r="T756" s="21"/>
    </row>
    <row r="757" spans="17:20" ht="15" customHeight="1" x14ac:dyDescent="0.25">
      <c r="Q757" s="21"/>
      <c r="R757" s="49"/>
      <c r="S757" s="21"/>
      <c r="T757" s="21"/>
    </row>
    <row r="758" spans="17:20" ht="15" customHeight="1" x14ac:dyDescent="0.25">
      <c r="Q758" s="21"/>
      <c r="R758" s="49"/>
      <c r="S758" s="21"/>
      <c r="T758" s="21"/>
    </row>
    <row r="759" spans="17:20" ht="15" customHeight="1" x14ac:dyDescent="0.25">
      <c r="Q759" s="21"/>
      <c r="R759" s="49"/>
      <c r="S759" s="21"/>
      <c r="T759" s="21"/>
    </row>
    <row r="760" spans="17:20" ht="15" customHeight="1" x14ac:dyDescent="0.25">
      <c r="Q760" s="21"/>
      <c r="R760" s="49"/>
      <c r="S760" s="21"/>
      <c r="T760" s="21"/>
    </row>
    <row r="761" spans="17:20" ht="15" customHeight="1" x14ac:dyDescent="0.25">
      <c r="Q761" s="21"/>
      <c r="R761" s="49"/>
      <c r="S761" s="21"/>
      <c r="T761" s="21"/>
    </row>
    <row r="762" spans="17:20" ht="15" customHeight="1" x14ac:dyDescent="0.25">
      <c r="Q762" s="21"/>
      <c r="R762" s="49"/>
      <c r="S762" s="21"/>
      <c r="T762" s="21"/>
    </row>
    <row r="763" spans="17:20" ht="15" customHeight="1" x14ac:dyDescent="0.25">
      <c r="Q763" s="21"/>
      <c r="R763" s="49"/>
      <c r="S763" s="21"/>
      <c r="T763" s="21"/>
    </row>
    <row r="764" spans="17:20" ht="15" customHeight="1" x14ac:dyDescent="0.25">
      <c r="Q764" s="21"/>
      <c r="R764" s="49"/>
      <c r="S764" s="21"/>
      <c r="T764" s="21"/>
    </row>
    <row r="765" spans="17:20" ht="15" customHeight="1" x14ac:dyDescent="0.25">
      <c r="Q765" s="21"/>
      <c r="R765" s="49"/>
      <c r="S765" s="21"/>
      <c r="T765" s="21"/>
    </row>
    <row r="766" spans="17:20" ht="15" customHeight="1" x14ac:dyDescent="0.25">
      <c r="Q766" s="21"/>
      <c r="R766" s="49"/>
      <c r="S766" s="21"/>
      <c r="T766" s="21"/>
    </row>
    <row r="767" spans="17:20" ht="15" customHeight="1" x14ac:dyDescent="0.25">
      <c r="Q767" s="21"/>
      <c r="R767" s="49"/>
      <c r="S767" s="21"/>
      <c r="T767" s="21"/>
    </row>
    <row r="768" spans="17:20" ht="15" customHeight="1" x14ac:dyDescent="0.25">
      <c r="Q768" s="21"/>
      <c r="R768" s="49"/>
      <c r="S768" s="21"/>
      <c r="T768" s="21"/>
    </row>
    <row r="769" spans="17:20" ht="15" customHeight="1" x14ac:dyDescent="0.25">
      <c r="Q769" s="21"/>
      <c r="R769" s="49"/>
      <c r="S769" s="21"/>
      <c r="T769" s="21"/>
    </row>
    <row r="770" spans="17:20" ht="15" customHeight="1" x14ac:dyDescent="0.25">
      <c r="Q770" s="21"/>
      <c r="R770" s="49"/>
      <c r="S770" s="21"/>
      <c r="T770" s="21"/>
    </row>
    <row r="771" spans="17:20" ht="15" customHeight="1" x14ac:dyDescent="0.25">
      <c r="Q771" s="21"/>
      <c r="R771" s="49"/>
      <c r="S771" s="21"/>
      <c r="T771" s="21"/>
    </row>
    <row r="772" spans="17:20" ht="15" customHeight="1" x14ac:dyDescent="0.25">
      <c r="Q772" s="21"/>
      <c r="R772" s="49"/>
      <c r="S772" s="21"/>
      <c r="T772" s="21"/>
    </row>
    <row r="773" spans="17:20" ht="15" customHeight="1" x14ac:dyDescent="0.25">
      <c r="Q773" s="21"/>
      <c r="R773" s="49"/>
      <c r="S773" s="21"/>
      <c r="T773" s="21"/>
    </row>
    <row r="774" spans="17:20" ht="15" customHeight="1" x14ac:dyDescent="0.25">
      <c r="Q774" s="21"/>
      <c r="R774" s="49"/>
      <c r="S774" s="21"/>
      <c r="T774" s="21"/>
    </row>
    <row r="775" spans="17:20" ht="15" customHeight="1" x14ac:dyDescent="0.25">
      <c r="Q775" s="21"/>
      <c r="R775" s="49"/>
      <c r="S775" s="21"/>
      <c r="T775" s="21"/>
    </row>
    <row r="776" spans="17:20" ht="15" customHeight="1" x14ac:dyDescent="0.25">
      <c r="Q776" s="21"/>
      <c r="R776" s="49"/>
      <c r="S776" s="21"/>
      <c r="T776" s="21"/>
    </row>
    <row r="777" spans="17:20" ht="15" customHeight="1" x14ac:dyDescent="0.25">
      <c r="Q777" s="21"/>
      <c r="R777" s="49"/>
      <c r="S777" s="21"/>
      <c r="T777" s="21"/>
    </row>
    <row r="778" spans="17:20" ht="15" customHeight="1" x14ac:dyDescent="0.25">
      <c r="Q778" s="21"/>
      <c r="R778" s="49"/>
      <c r="S778" s="21"/>
      <c r="T778" s="21"/>
    </row>
    <row r="779" spans="17:20" ht="15" customHeight="1" x14ac:dyDescent="0.25">
      <c r="Q779" s="21"/>
      <c r="R779" s="49"/>
      <c r="S779" s="21"/>
      <c r="T779" s="21"/>
    </row>
    <row r="780" spans="17:20" ht="15" customHeight="1" x14ac:dyDescent="0.25">
      <c r="Q780" s="21"/>
      <c r="R780" s="49"/>
      <c r="S780" s="21"/>
      <c r="T780" s="21"/>
    </row>
    <row r="781" spans="17:20" ht="15" customHeight="1" x14ac:dyDescent="0.25">
      <c r="Q781" s="21"/>
      <c r="R781" s="49"/>
      <c r="S781" s="21"/>
      <c r="T781" s="21"/>
    </row>
    <row r="782" spans="17:20" ht="15" customHeight="1" x14ac:dyDescent="0.25">
      <c r="Q782" s="21"/>
      <c r="R782" s="49"/>
      <c r="S782" s="21"/>
      <c r="T782" s="21"/>
    </row>
    <row r="783" spans="17:20" ht="15" customHeight="1" x14ac:dyDescent="0.25">
      <c r="Q783" s="21"/>
      <c r="R783" s="49"/>
      <c r="S783" s="21"/>
      <c r="T783" s="21"/>
    </row>
    <row r="784" spans="17:20" ht="15" customHeight="1" x14ac:dyDescent="0.25">
      <c r="Q784" s="21"/>
      <c r="R784" s="49"/>
      <c r="S784" s="21"/>
      <c r="T784" s="21"/>
    </row>
    <row r="785" spans="17:20" ht="15" customHeight="1" x14ac:dyDescent="0.25">
      <c r="Q785" s="21"/>
      <c r="R785" s="49"/>
      <c r="S785" s="21"/>
      <c r="T785" s="21"/>
    </row>
    <row r="786" spans="17:20" ht="15" customHeight="1" x14ac:dyDescent="0.25">
      <c r="Q786" s="21"/>
      <c r="R786" s="49"/>
      <c r="S786" s="21"/>
      <c r="T786" s="21"/>
    </row>
    <row r="787" spans="17:20" ht="15" customHeight="1" x14ac:dyDescent="0.25">
      <c r="Q787" s="21"/>
      <c r="R787" s="49"/>
      <c r="S787" s="21"/>
      <c r="T787" s="21"/>
    </row>
    <row r="788" spans="17:20" ht="15" customHeight="1" x14ac:dyDescent="0.25">
      <c r="Q788" s="21"/>
      <c r="R788" s="49"/>
      <c r="S788" s="21"/>
      <c r="T788" s="21"/>
    </row>
    <row r="789" spans="17:20" ht="15" customHeight="1" x14ac:dyDescent="0.25">
      <c r="Q789" s="21"/>
      <c r="R789" s="49"/>
      <c r="S789" s="21"/>
      <c r="T789" s="21"/>
    </row>
    <row r="790" spans="17:20" ht="15" customHeight="1" x14ac:dyDescent="0.25">
      <c r="Q790" s="21"/>
      <c r="R790" s="49"/>
      <c r="S790" s="21"/>
      <c r="T790" s="21"/>
    </row>
    <row r="791" spans="17:20" ht="15" customHeight="1" x14ac:dyDescent="0.25">
      <c r="Q791" s="21"/>
      <c r="R791" s="49"/>
      <c r="S791" s="21"/>
      <c r="T791" s="21"/>
    </row>
    <row r="792" spans="17:20" ht="15" customHeight="1" x14ac:dyDescent="0.25">
      <c r="Q792" s="21"/>
      <c r="R792" s="49"/>
      <c r="S792" s="21"/>
      <c r="T792" s="21"/>
    </row>
    <row r="793" spans="17:20" ht="15" customHeight="1" x14ac:dyDescent="0.25">
      <c r="Q793" s="21"/>
      <c r="R793" s="49"/>
      <c r="S793" s="21"/>
      <c r="T793" s="21"/>
    </row>
    <row r="794" spans="17:20" ht="15" customHeight="1" x14ac:dyDescent="0.25">
      <c r="Q794" s="21"/>
      <c r="R794" s="49"/>
      <c r="S794" s="21"/>
      <c r="T794" s="21"/>
    </row>
    <row r="795" spans="17:20" ht="15" customHeight="1" x14ac:dyDescent="0.25">
      <c r="Q795" s="21"/>
      <c r="R795" s="49"/>
      <c r="S795" s="21"/>
      <c r="T795" s="21"/>
    </row>
    <row r="796" spans="17:20" ht="15" customHeight="1" x14ac:dyDescent="0.25">
      <c r="Q796" s="21"/>
      <c r="R796" s="49"/>
      <c r="S796" s="21"/>
      <c r="T796" s="21"/>
    </row>
    <row r="797" spans="17:20" ht="15" customHeight="1" x14ac:dyDescent="0.25">
      <c r="Q797" s="21"/>
      <c r="R797" s="49"/>
      <c r="S797" s="21"/>
      <c r="T797" s="21"/>
    </row>
    <row r="798" spans="17:20" ht="15" customHeight="1" x14ac:dyDescent="0.25">
      <c r="Q798" s="21"/>
      <c r="R798" s="49"/>
      <c r="S798" s="21"/>
      <c r="T798" s="21"/>
    </row>
    <row r="799" spans="17:20" ht="15" customHeight="1" x14ac:dyDescent="0.25">
      <c r="Q799" s="21"/>
      <c r="R799" s="49"/>
      <c r="S799" s="21"/>
      <c r="T799" s="21"/>
    </row>
    <row r="800" spans="17:20" ht="15" customHeight="1" x14ac:dyDescent="0.25">
      <c r="Q800" s="21"/>
      <c r="R800" s="49"/>
      <c r="S800" s="21"/>
      <c r="T800" s="21"/>
    </row>
    <row r="801" spans="17:20" ht="15" customHeight="1" x14ac:dyDescent="0.25">
      <c r="Q801" s="21"/>
      <c r="R801" s="49"/>
      <c r="S801" s="21"/>
      <c r="T801" s="21"/>
    </row>
    <row r="802" spans="17:20" ht="15" customHeight="1" x14ac:dyDescent="0.25">
      <c r="Q802" s="21"/>
      <c r="R802" s="49"/>
      <c r="S802" s="21"/>
      <c r="T802" s="21"/>
    </row>
    <row r="803" spans="17:20" ht="15" customHeight="1" x14ac:dyDescent="0.25">
      <c r="Q803" s="21"/>
      <c r="R803" s="49"/>
      <c r="S803" s="21"/>
      <c r="T803" s="21"/>
    </row>
    <row r="804" spans="17:20" ht="15" customHeight="1" x14ac:dyDescent="0.25">
      <c r="Q804" s="21"/>
      <c r="R804" s="49"/>
      <c r="S804" s="21"/>
      <c r="T804" s="21"/>
    </row>
    <row r="805" spans="17:20" ht="15" customHeight="1" x14ac:dyDescent="0.25">
      <c r="Q805" s="21"/>
      <c r="R805" s="49"/>
      <c r="S805" s="21"/>
      <c r="T805" s="21"/>
    </row>
    <row r="806" spans="17:20" ht="15" customHeight="1" x14ac:dyDescent="0.25">
      <c r="Q806" s="21"/>
      <c r="R806" s="49"/>
      <c r="S806" s="21"/>
      <c r="T806" s="21"/>
    </row>
    <row r="807" spans="17:20" ht="15" customHeight="1" x14ac:dyDescent="0.25">
      <c r="Q807" s="21"/>
      <c r="R807" s="49"/>
      <c r="S807" s="21"/>
      <c r="T807" s="21"/>
    </row>
    <row r="808" spans="17:20" ht="15" customHeight="1" x14ac:dyDescent="0.25">
      <c r="Q808" s="21"/>
      <c r="R808" s="49"/>
      <c r="S808" s="21"/>
      <c r="T808" s="21"/>
    </row>
    <row r="809" spans="17:20" ht="15" customHeight="1" x14ac:dyDescent="0.25">
      <c r="Q809" s="21"/>
      <c r="R809" s="49"/>
      <c r="S809" s="21"/>
      <c r="T809" s="21"/>
    </row>
    <row r="810" spans="17:20" ht="15" customHeight="1" x14ac:dyDescent="0.25">
      <c r="Q810" s="21"/>
      <c r="R810" s="49"/>
      <c r="S810" s="21"/>
      <c r="T810" s="21"/>
    </row>
    <row r="811" spans="17:20" ht="15" customHeight="1" x14ac:dyDescent="0.25">
      <c r="Q811" s="21"/>
      <c r="R811" s="49"/>
      <c r="S811" s="21"/>
      <c r="T811" s="21"/>
    </row>
    <row r="812" spans="17:20" ht="15" customHeight="1" x14ac:dyDescent="0.25">
      <c r="Q812" s="21"/>
      <c r="R812" s="49"/>
      <c r="S812" s="21"/>
      <c r="T812" s="21"/>
    </row>
    <row r="813" spans="17:20" ht="15" customHeight="1" x14ac:dyDescent="0.25">
      <c r="Q813" s="21"/>
      <c r="R813" s="49"/>
      <c r="S813" s="21"/>
      <c r="T813" s="21"/>
    </row>
    <row r="814" spans="17:20" ht="15" customHeight="1" x14ac:dyDescent="0.25">
      <c r="Q814" s="21"/>
      <c r="R814" s="49"/>
      <c r="S814" s="21"/>
      <c r="T814" s="21"/>
    </row>
    <row r="815" spans="17:20" ht="15" customHeight="1" x14ac:dyDescent="0.25">
      <c r="Q815" s="21"/>
      <c r="R815" s="49"/>
      <c r="S815" s="21"/>
      <c r="T815" s="21"/>
    </row>
    <row r="816" spans="17:20" ht="15" customHeight="1" x14ac:dyDescent="0.25">
      <c r="Q816" s="21"/>
      <c r="R816" s="49"/>
      <c r="S816" s="21"/>
      <c r="T816" s="21"/>
    </row>
    <row r="817" spans="17:20" ht="15" customHeight="1" x14ac:dyDescent="0.25">
      <c r="Q817" s="21"/>
      <c r="R817" s="49"/>
      <c r="S817" s="21"/>
      <c r="T817" s="21"/>
    </row>
    <row r="818" spans="17:20" ht="15" customHeight="1" x14ac:dyDescent="0.25">
      <c r="Q818" s="21"/>
      <c r="R818" s="49"/>
      <c r="S818" s="21"/>
      <c r="T818" s="21"/>
    </row>
    <row r="819" spans="17:20" ht="15" customHeight="1" x14ac:dyDescent="0.25">
      <c r="Q819" s="21"/>
      <c r="R819" s="49"/>
      <c r="S819" s="21"/>
      <c r="T819" s="21"/>
    </row>
    <row r="820" spans="17:20" ht="15" customHeight="1" x14ac:dyDescent="0.25">
      <c r="Q820" s="21"/>
      <c r="R820" s="49"/>
      <c r="S820" s="21"/>
      <c r="T820" s="21"/>
    </row>
    <row r="821" spans="17:20" ht="15" customHeight="1" x14ac:dyDescent="0.25">
      <c r="Q821" s="21"/>
      <c r="R821" s="49"/>
      <c r="S821" s="21"/>
      <c r="T821" s="21"/>
    </row>
    <row r="822" spans="17:20" ht="15" customHeight="1" x14ac:dyDescent="0.25">
      <c r="Q822" s="21"/>
      <c r="R822" s="49"/>
      <c r="S822" s="21"/>
      <c r="T822" s="21"/>
    </row>
    <row r="823" spans="17:20" ht="15" customHeight="1" x14ac:dyDescent="0.25">
      <c r="Q823" s="21"/>
      <c r="R823" s="49"/>
      <c r="S823" s="21"/>
      <c r="T823" s="21"/>
    </row>
    <row r="824" spans="17:20" ht="15" customHeight="1" x14ac:dyDescent="0.25">
      <c r="Q824" s="21"/>
      <c r="R824" s="49"/>
      <c r="S824" s="21"/>
      <c r="T824" s="21"/>
    </row>
    <row r="825" spans="17:20" ht="15" customHeight="1" x14ac:dyDescent="0.25">
      <c r="Q825" s="21"/>
      <c r="R825" s="49"/>
      <c r="S825" s="21"/>
      <c r="T825" s="21"/>
    </row>
    <row r="826" spans="17:20" ht="15" customHeight="1" x14ac:dyDescent="0.25">
      <c r="Q826" s="21"/>
      <c r="R826" s="49"/>
      <c r="S826" s="21"/>
      <c r="T826" s="21"/>
    </row>
    <row r="827" spans="17:20" ht="15" customHeight="1" x14ac:dyDescent="0.25">
      <c r="Q827" s="21"/>
      <c r="R827" s="49"/>
      <c r="S827" s="21"/>
      <c r="T827" s="21"/>
    </row>
    <row r="828" spans="17:20" ht="15" customHeight="1" x14ac:dyDescent="0.25">
      <c r="Q828" s="21"/>
      <c r="R828" s="49"/>
      <c r="S828" s="21"/>
      <c r="T828" s="21"/>
    </row>
    <row r="829" spans="17:20" ht="15" customHeight="1" x14ac:dyDescent="0.25">
      <c r="Q829" s="21"/>
      <c r="R829" s="49"/>
      <c r="S829" s="21"/>
      <c r="T829" s="21"/>
    </row>
    <row r="830" spans="17:20" ht="15" customHeight="1" x14ac:dyDescent="0.25">
      <c r="Q830" s="21"/>
      <c r="R830" s="49"/>
      <c r="S830" s="21"/>
      <c r="T830" s="21"/>
    </row>
    <row r="831" spans="17:20" ht="15" customHeight="1" x14ac:dyDescent="0.25">
      <c r="Q831" s="21"/>
      <c r="R831" s="49"/>
      <c r="S831" s="21"/>
      <c r="T831" s="21"/>
    </row>
    <row r="832" spans="17:20" ht="15" customHeight="1" x14ac:dyDescent="0.25">
      <c r="Q832" s="21"/>
      <c r="R832" s="49"/>
      <c r="S832" s="21"/>
      <c r="T832" s="21"/>
    </row>
    <row r="833" spans="17:20" ht="15" customHeight="1" x14ac:dyDescent="0.25">
      <c r="Q833" s="21"/>
      <c r="R833" s="49"/>
      <c r="S833" s="21"/>
      <c r="T833" s="21"/>
    </row>
    <row r="834" spans="17:20" ht="15" customHeight="1" x14ac:dyDescent="0.25">
      <c r="Q834" s="21"/>
      <c r="R834" s="49"/>
      <c r="S834" s="21"/>
      <c r="T834" s="21"/>
    </row>
    <row r="835" spans="17:20" ht="15" customHeight="1" x14ac:dyDescent="0.25">
      <c r="Q835" s="21"/>
      <c r="R835" s="49"/>
      <c r="S835" s="21"/>
      <c r="T835" s="21"/>
    </row>
    <row r="836" spans="17:20" ht="15" customHeight="1" x14ac:dyDescent="0.25">
      <c r="Q836" s="21"/>
      <c r="R836" s="49"/>
      <c r="S836" s="21"/>
      <c r="T836" s="21"/>
    </row>
    <row r="837" spans="17:20" ht="15" customHeight="1" x14ac:dyDescent="0.25">
      <c r="Q837" s="21"/>
      <c r="R837" s="49"/>
      <c r="S837" s="21"/>
      <c r="T837" s="21"/>
    </row>
    <row r="838" spans="17:20" ht="15" customHeight="1" x14ac:dyDescent="0.25">
      <c r="Q838" s="21"/>
      <c r="R838" s="49"/>
      <c r="S838" s="21"/>
      <c r="T838" s="21"/>
    </row>
    <row r="839" spans="17:20" ht="15" customHeight="1" x14ac:dyDescent="0.25">
      <c r="Q839" s="21"/>
      <c r="R839" s="49"/>
      <c r="S839" s="21"/>
      <c r="T839" s="21"/>
    </row>
    <row r="840" spans="17:20" ht="15" customHeight="1" x14ac:dyDescent="0.25">
      <c r="Q840" s="21"/>
      <c r="R840" s="49"/>
      <c r="S840" s="21"/>
      <c r="T840" s="21"/>
    </row>
    <row r="841" spans="17:20" ht="15" customHeight="1" x14ac:dyDescent="0.25">
      <c r="Q841" s="21"/>
      <c r="R841" s="49"/>
      <c r="S841" s="21"/>
      <c r="T841" s="21"/>
    </row>
    <row r="842" spans="17:20" ht="15" customHeight="1" x14ac:dyDescent="0.25">
      <c r="Q842" s="21"/>
      <c r="R842" s="49"/>
      <c r="S842" s="21"/>
      <c r="T842" s="21"/>
    </row>
    <row r="843" spans="17:20" ht="15" customHeight="1" x14ac:dyDescent="0.25">
      <c r="Q843" s="21"/>
      <c r="R843" s="49"/>
      <c r="S843" s="21"/>
      <c r="T843" s="21"/>
    </row>
    <row r="844" spans="17:20" ht="15" customHeight="1" x14ac:dyDescent="0.25">
      <c r="Q844" s="21"/>
      <c r="R844" s="49"/>
      <c r="S844" s="21"/>
      <c r="T844" s="21"/>
    </row>
    <row r="845" spans="17:20" ht="15" customHeight="1" x14ac:dyDescent="0.25">
      <c r="Q845" s="21"/>
      <c r="R845" s="49"/>
      <c r="S845" s="21"/>
      <c r="T845" s="21"/>
    </row>
    <row r="846" spans="17:20" ht="15" customHeight="1" x14ac:dyDescent="0.25">
      <c r="Q846" s="21"/>
      <c r="R846" s="49"/>
      <c r="S846" s="21"/>
      <c r="T846" s="21"/>
    </row>
    <row r="847" spans="17:20" ht="15" customHeight="1" x14ac:dyDescent="0.25">
      <c r="Q847" s="21"/>
      <c r="R847" s="49"/>
      <c r="S847" s="21"/>
      <c r="T847" s="21"/>
    </row>
    <row r="848" spans="17:20" ht="15" customHeight="1" x14ac:dyDescent="0.25">
      <c r="Q848" s="21"/>
      <c r="R848" s="49"/>
      <c r="S848" s="21"/>
      <c r="T848" s="21"/>
    </row>
    <row r="849" spans="17:20" ht="15" customHeight="1" x14ac:dyDescent="0.25">
      <c r="Q849" s="21"/>
      <c r="R849" s="49"/>
      <c r="S849" s="21"/>
      <c r="T849" s="21"/>
    </row>
    <row r="850" spans="17:20" ht="15" customHeight="1" x14ac:dyDescent="0.25">
      <c r="Q850" s="21"/>
      <c r="R850" s="49"/>
      <c r="S850" s="21"/>
      <c r="T850" s="21"/>
    </row>
    <row r="851" spans="17:20" ht="15" customHeight="1" x14ac:dyDescent="0.25">
      <c r="Q851" s="21"/>
      <c r="R851" s="49"/>
      <c r="S851" s="21"/>
      <c r="T851" s="21"/>
    </row>
    <row r="852" spans="17:20" ht="15" customHeight="1" x14ac:dyDescent="0.25">
      <c r="Q852" s="21"/>
      <c r="R852" s="49"/>
      <c r="S852" s="21"/>
      <c r="T852" s="21"/>
    </row>
    <row r="853" spans="17:20" ht="15" customHeight="1" x14ac:dyDescent="0.25">
      <c r="Q853" s="21"/>
      <c r="R853" s="49"/>
      <c r="S853" s="21"/>
      <c r="T853" s="21"/>
    </row>
    <row r="854" spans="17:20" ht="15" customHeight="1" x14ac:dyDescent="0.25">
      <c r="Q854" s="21"/>
      <c r="R854" s="49"/>
      <c r="S854" s="21"/>
      <c r="T854" s="21"/>
    </row>
    <row r="855" spans="17:20" ht="15" customHeight="1" x14ac:dyDescent="0.25">
      <c r="Q855" s="21"/>
      <c r="R855" s="49"/>
      <c r="S855" s="21"/>
      <c r="T855" s="21"/>
    </row>
    <row r="856" spans="17:20" ht="15" customHeight="1" x14ac:dyDescent="0.25">
      <c r="Q856" s="21"/>
      <c r="R856" s="49"/>
      <c r="S856" s="21"/>
      <c r="T856" s="21"/>
    </row>
    <row r="857" spans="17:20" ht="15" customHeight="1" x14ac:dyDescent="0.25">
      <c r="Q857" s="21"/>
      <c r="R857" s="49"/>
      <c r="S857" s="21"/>
      <c r="T857" s="21"/>
    </row>
    <row r="858" spans="17:20" ht="15" customHeight="1" x14ac:dyDescent="0.25">
      <c r="Q858" s="21"/>
      <c r="R858" s="49"/>
      <c r="S858" s="21"/>
      <c r="T858" s="21"/>
    </row>
    <row r="859" spans="17:20" ht="15" customHeight="1" x14ac:dyDescent="0.25">
      <c r="Q859" s="21"/>
      <c r="R859" s="49"/>
      <c r="S859" s="21"/>
      <c r="T859" s="21"/>
    </row>
    <row r="860" spans="17:20" ht="15" customHeight="1" x14ac:dyDescent="0.25">
      <c r="Q860" s="21"/>
      <c r="R860" s="49"/>
      <c r="S860" s="21"/>
      <c r="T860" s="21"/>
    </row>
    <row r="861" spans="17:20" ht="15" customHeight="1" x14ac:dyDescent="0.25">
      <c r="Q861" s="21"/>
      <c r="R861" s="49"/>
      <c r="S861" s="21"/>
      <c r="T861" s="21"/>
    </row>
    <row r="862" spans="17:20" ht="15" customHeight="1" x14ac:dyDescent="0.25">
      <c r="Q862" s="21"/>
      <c r="R862" s="49"/>
      <c r="S862" s="21"/>
      <c r="T862" s="21"/>
    </row>
    <row r="863" spans="17:20" ht="15" customHeight="1" x14ac:dyDescent="0.25">
      <c r="Q863" s="21"/>
      <c r="R863" s="49"/>
      <c r="S863" s="21"/>
      <c r="T863" s="21"/>
    </row>
    <row r="864" spans="17:20" ht="15" customHeight="1" x14ac:dyDescent="0.25">
      <c r="Q864" s="21"/>
      <c r="R864" s="49"/>
      <c r="S864" s="21"/>
      <c r="T864" s="21"/>
    </row>
    <row r="865" spans="17:20" ht="15" customHeight="1" x14ac:dyDescent="0.25">
      <c r="Q865" s="21"/>
      <c r="R865" s="49"/>
      <c r="S865" s="21"/>
      <c r="T865" s="21"/>
    </row>
    <row r="866" spans="17:20" ht="15" customHeight="1" x14ac:dyDescent="0.25">
      <c r="Q866" s="21"/>
      <c r="R866" s="49"/>
      <c r="S866" s="21"/>
      <c r="T866" s="21"/>
    </row>
    <row r="867" spans="17:20" ht="15" customHeight="1" x14ac:dyDescent="0.25">
      <c r="Q867" s="21"/>
      <c r="R867" s="49"/>
      <c r="S867" s="21"/>
      <c r="T867" s="21"/>
    </row>
    <row r="868" spans="17:20" ht="15" customHeight="1" x14ac:dyDescent="0.25">
      <c r="Q868" s="21"/>
      <c r="R868" s="49"/>
      <c r="S868" s="21"/>
      <c r="T868" s="21"/>
    </row>
    <row r="869" spans="17:20" ht="15" customHeight="1" x14ac:dyDescent="0.25">
      <c r="Q869" s="21"/>
      <c r="R869" s="49"/>
      <c r="S869" s="21"/>
      <c r="T869" s="21"/>
    </row>
    <row r="870" spans="17:20" ht="15" customHeight="1" x14ac:dyDescent="0.25">
      <c r="Q870" s="21"/>
      <c r="R870" s="49"/>
      <c r="S870" s="21"/>
      <c r="T870" s="21"/>
    </row>
    <row r="871" spans="17:20" ht="15" customHeight="1" x14ac:dyDescent="0.25">
      <c r="Q871" s="21"/>
      <c r="R871" s="49"/>
      <c r="S871" s="21"/>
      <c r="T871" s="21"/>
    </row>
    <row r="872" spans="17:20" ht="15" customHeight="1" x14ac:dyDescent="0.25">
      <c r="Q872" s="21"/>
      <c r="R872" s="49"/>
      <c r="S872" s="21"/>
      <c r="T872" s="21"/>
    </row>
    <row r="873" spans="17:20" ht="15" customHeight="1" x14ac:dyDescent="0.25">
      <c r="Q873" s="21"/>
      <c r="R873" s="49"/>
      <c r="S873" s="21"/>
      <c r="T873" s="21"/>
    </row>
    <row r="874" spans="17:20" ht="15" customHeight="1" x14ac:dyDescent="0.25">
      <c r="Q874" s="21"/>
      <c r="R874" s="49"/>
      <c r="S874" s="21"/>
      <c r="T874" s="21"/>
    </row>
    <row r="875" spans="17:20" ht="15" customHeight="1" x14ac:dyDescent="0.25">
      <c r="Q875" s="21"/>
      <c r="R875" s="49"/>
      <c r="S875" s="21"/>
      <c r="T875" s="21"/>
    </row>
    <row r="876" spans="17:20" ht="15" customHeight="1" x14ac:dyDescent="0.25">
      <c r="Q876" s="21"/>
      <c r="R876" s="49"/>
      <c r="S876" s="21"/>
      <c r="T876" s="21"/>
    </row>
    <row r="877" spans="17:20" ht="15" customHeight="1" x14ac:dyDescent="0.25">
      <c r="Q877" s="21"/>
      <c r="R877" s="49"/>
      <c r="S877" s="21"/>
      <c r="T877" s="21"/>
    </row>
    <row r="878" spans="17:20" ht="15" customHeight="1" x14ac:dyDescent="0.25">
      <c r="Q878" s="21"/>
      <c r="R878" s="49"/>
      <c r="S878" s="21"/>
      <c r="T878" s="21"/>
    </row>
    <row r="879" spans="17:20" ht="15" customHeight="1" x14ac:dyDescent="0.25">
      <c r="Q879" s="21"/>
      <c r="R879" s="49"/>
      <c r="S879" s="21"/>
      <c r="T879" s="21"/>
    </row>
    <row r="880" spans="17:20" ht="15" customHeight="1" x14ac:dyDescent="0.25">
      <c r="Q880" s="21"/>
      <c r="R880" s="49"/>
      <c r="S880" s="21"/>
      <c r="T880" s="21"/>
    </row>
    <row r="881" spans="17:20" ht="15" customHeight="1" x14ac:dyDescent="0.25">
      <c r="Q881" s="21"/>
      <c r="R881" s="49"/>
      <c r="S881" s="21"/>
      <c r="T881" s="21"/>
    </row>
    <row r="882" spans="17:20" ht="15" customHeight="1" x14ac:dyDescent="0.25">
      <c r="Q882" s="21"/>
      <c r="R882" s="49"/>
      <c r="S882" s="21"/>
      <c r="T882" s="21"/>
    </row>
    <row r="883" spans="17:20" ht="15" customHeight="1" x14ac:dyDescent="0.25">
      <c r="Q883" s="21"/>
      <c r="R883" s="49"/>
      <c r="S883" s="21"/>
      <c r="T883" s="21"/>
    </row>
    <row r="884" spans="17:20" ht="15" customHeight="1" x14ac:dyDescent="0.25">
      <c r="Q884" s="21"/>
      <c r="R884" s="49"/>
      <c r="S884" s="21"/>
      <c r="T884" s="21"/>
    </row>
    <row r="885" spans="17:20" ht="15" customHeight="1" x14ac:dyDescent="0.25">
      <c r="Q885" s="21"/>
      <c r="R885" s="49"/>
      <c r="S885" s="21"/>
      <c r="T885" s="21"/>
    </row>
    <row r="886" spans="17:20" ht="15" customHeight="1" x14ac:dyDescent="0.25">
      <c r="Q886" s="21"/>
      <c r="R886" s="49"/>
      <c r="S886" s="21"/>
      <c r="T886" s="21"/>
    </row>
    <row r="887" spans="17:20" ht="15" customHeight="1" x14ac:dyDescent="0.25">
      <c r="Q887" s="21"/>
      <c r="R887" s="49"/>
      <c r="S887" s="21"/>
      <c r="T887" s="21"/>
    </row>
    <row r="888" spans="17:20" ht="15" customHeight="1" x14ac:dyDescent="0.25">
      <c r="Q888" s="21"/>
      <c r="R888" s="49"/>
      <c r="S888" s="21"/>
      <c r="T888" s="21"/>
    </row>
    <row r="889" spans="17:20" ht="15" customHeight="1" x14ac:dyDescent="0.25">
      <c r="Q889" s="21"/>
      <c r="R889" s="49"/>
      <c r="S889" s="21"/>
      <c r="T889" s="21"/>
    </row>
    <row r="890" spans="17:20" ht="15" customHeight="1" x14ac:dyDescent="0.25">
      <c r="Q890" s="21"/>
      <c r="R890" s="49"/>
      <c r="S890" s="21"/>
      <c r="T890" s="21"/>
    </row>
    <row r="891" spans="17:20" ht="15" customHeight="1" x14ac:dyDescent="0.25">
      <c r="Q891" s="21"/>
      <c r="R891" s="49"/>
      <c r="S891" s="21"/>
      <c r="T891" s="21"/>
    </row>
    <row r="892" spans="17:20" ht="15" customHeight="1" x14ac:dyDescent="0.25">
      <c r="Q892" s="21"/>
      <c r="R892" s="49"/>
      <c r="S892" s="21"/>
      <c r="T892" s="21"/>
    </row>
    <row r="893" spans="17:20" ht="15" customHeight="1" x14ac:dyDescent="0.25">
      <c r="Q893" s="21"/>
      <c r="R893" s="49"/>
      <c r="S893" s="21"/>
      <c r="T893" s="21"/>
    </row>
    <row r="894" spans="17:20" ht="15" customHeight="1" x14ac:dyDescent="0.25">
      <c r="Q894" s="21"/>
      <c r="R894" s="49"/>
      <c r="S894" s="21"/>
      <c r="T894" s="21"/>
    </row>
    <row r="895" spans="17:20" ht="15" customHeight="1" x14ac:dyDescent="0.25">
      <c r="Q895" s="21"/>
      <c r="R895" s="49"/>
      <c r="S895" s="21"/>
      <c r="T895" s="21"/>
    </row>
    <row r="896" spans="17:20" ht="15" customHeight="1" x14ac:dyDescent="0.25">
      <c r="Q896" s="21"/>
      <c r="R896" s="49"/>
      <c r="S896" s="21"/>
      <c r="T896" s="21"/>
    </row>
    <row r="897" spans="17:20" ht="15" customHeight="1" x14ac:dyDescent="0.25">
      <c r="Q897" s="21"/>
      <c r="R897" s="49"/>
      <c r="S897" s="21"/>
      <c r="T897" s="21"/>
    </row>
    <row r="898" spans="17:20" ht="15" customHeight="1" x14ac:dyDescent="0.25">
      <c r="Q898" s="21"/>
      <c r="R898" s="49"/>
      <c r="S898" s="21"/>
      <c r="T898" s="21"/>
    </row>
    <row r="899" spans="17:20" ht="15" customHeight="1" x14ac:dyDescent="0.25">
      <c r="Q899" s="21"/>
      <c r="R899" s="49"/>
      <c r="S899" s="21"/>
      <c r="T899" s="21"/>
    </row>
    <row r="900" spans="17:20" ht="15" customHeight="1" x14ac:dyDescent="0.25">
      <c r="Q900" s="21"/>
      <c r="R900" s="49"/>
      <c r="S900" s="21"/>
      <c r="T900" s="21"/>
    </row>
    <row r="901" spans="17:20" ht="15" customHeight="1" x14ac:dyDescent="0.25">
      <c r="Q901" s="21"/>
      <c r="R901" s="49"/>
      <c r="S901" s="21"/>
      <c r="T901" s="21"/>
    </row>
    <row r="902" spans="17:20" ht="15" customHeight="1" x14ac:dyDescent="0.25">
      <c r="Q902" s="21"/>
      <c r="R902" s="49"/>
      <c r="S902" s="21"/>
      <c r="T902" s="21"/>
    </row>
    <row r="903" spans="17:20" ht="15" customHeight="1" x14ac:dyDescent="0.25">
      <c r="Q903" s="21"/>
      <c r="R903" s="49"/>
      <c r="S903" s="21"/>
      <c r="T903" s="21"/>
    </row>
    <row r="904" spans="17:20" ht="15" customHeight="1" x14ac:dyDescent="0.25">
      <c r="Q904" s="21"/>
      <c r="R904" s="49"/>
      <c r="S904" s="21"/>
      <c r="T904" s="21"/>
    </row>
    <row r="905" spans="17:20" ht="15" customHeight="1" x14ac:dyDescent="0.25">
      <c r="Q905" s="21"/>
      <c r="R905" s="49"/>
      <c r="S905" s="21"/>
      <c r="T905" s="21"/>
    </row>
    <row r="906" spans="17:20" ht="15" customHeight="1" x14ac:dyDescent="0.25">
      <c r="Q906" s="21"/>
      <c r="R906" s="49"/>
      <c r="S906" s="21"/>
      <c r="T906" s="21"/>
    </row>
    <row r="907" spans="17:20" ht="15" customHeight="1" x14ac:dyDescent="0.25">
      <c r="Q907" s="21"/>
      <c r="R907" s="49"/>
      <c r="S907" s="21"/>
      <c r="T907" s="21"/>
    </row>
    <row r="908" spans="17:20" ht="15" customHeight="1" x14ac:dyDescent="0.25">
      <c r="Q908" s="21"/>
      <c r="R908" s="49"/>
      <c r="S908" s="21"/>
      <c r="T908" s="21"/>
    </row>
    <row r="909" spans="17:20" ht="15" customHeight="1" x14ac:dyDescent="0.25">
      <c r="Q909" s="21"/>
      <c r="R909" s="49"/>
      <c r="S909" s="21"/>
      <c r="T909" s="21"/>
    </row>
    <row r="910" spans="17:20" ht="15" customHeight="1" x14ac:dyDescent="0.25">
      <c r="Q910" s="21"/>
      <c r="R910" s="49"/>
      <c r="S910" s="21"/>
      <c r="T910" s="21"/>
    </row>
    <row r="911" spans="17:20" ht="15" customHeight="1" x14ac:dyDescent="0.25">
      <c r="Q911" s="21"/>
      <c r="R911" s="49"/>
      <c r="S911" s="21"/>
      <c r="T911" s="21"/>
    </row>
    <row r="912" spans="17:20" ht="15" customHeight="1" x14ac:dyDescent="0.25">
      <c r="Q912" s="21"/>
      <c r="R912" s="49"/>
      <c r="S912" s="21"/>
      <c r="T912" s="21"/>
    </row>
    <row r="913" spans="17:20" ht="15" customHeight="1" x14ac:dyDescent="0.25">
      <c r="Q913" s="21"/>
      <c r="R913" s="49"/>
      <c r="S913" s="21"/>
      <c r="T913" s="21"/>
    </row>
    <row r="914" spans="17:20" ht="15" customHeight="1" x14ac:dyDescent="0.25">
      <c r="Q914" s="21"/>
      <c r="R914" s="49"/>
      <c r="S914" s="21"/>
      <c r="T914" s="21"/>
    </row>
    <row r="915" spans="17:20" ht="15" customHeight="1" x14ac:dyDescent="0.25">
      <c r="Q915" s="21"/>
      <c r="R915" s="49"/>
      <c r="S915" s="21"/>
      <c r="T915" s="21"/>
    </row>
    <row r="916" spans="17:20" ht="15" customHeight="1" x14ac:dyDescent="0.25">
      <c r="Q916" s="21"/>
      <c r="R916" s="49"/>
      <c r="S916" s="21"/>
      <c r="T916" s="21"/>
    </row>
    <row r="917" spans="17:20" ht="15" customHeight="1" x14ac:dyDescent="0.25">
      <c r="Q917" s="21"/>
      <c r="R917" s="49"/>
      <c r="S917" s="21"/>
      <c r="T917" s="21"/>
    </row>
    <row r="918" spans="17:20" ht="15" customHeight="1" x14ac:dyDescent="0.25">
      <c r="Q918" s="21"/>
      <c r="R918" s="49"/>
      <c r="S918" s="21"/>
      <c r="T918" s="21"/>
    </row>
    <row r="919" spans="17:20" ht="15" customHeight="1" x14ac:dyDescent="0.25">
      <c r="Q919" s="21"/>
      <c r="R919" s="49"/>
      <c r="S919" s="21"/>
      <c r="T919" s="21"/>
    </row>
    <row r="920" spans="17:20" ht="15" customHeight="1" x14ac:dyDescent="0.25">
      <c r="Q920" s="21"/>
      <c r="R920" s="49"/>
      <c r="S920" s="21"/>
      <c r="T920" s="21"/>
    </row>
    <row r="921" spans="17:20" ht="15" customHeight="1" x14ac:dyDescent="0.25">
      <c r="Q921" s="21"/>
      <c r="R921" s="49"/>
      <c r="S921" s="21"/>
      <c r="T921" s="21"/>
    </row>
    <row r="922" spans="17:20" ht="15" customHeight="1" x14ac:dyDescent="0.25">
      <c r="Q922" s="21"/>
      <c r="R922" s="49"/>
      <c r="S922" s="21"/>
      <c r="T922" s="21"/>
    </row>
    <row r="923" spans="17:20" ht="15" customHeight="1" x14ac:dyDescent="0.25">
      <c r="Q923" s="21"/>
      <c r="R923" s="49"/>
      <c r="S923" s="21"/>
      <c r="T923" s="21"/>
    </row>
    <row r="924" spans="17:20" ht="15" customHeight="1" x14ac:dyDescent="0.25">
      <c r="Q924" s="21"/>
      <c r="R924" s="49"/>
      <c r="S924" s="21"/>
      <c r="T924" s="21"/>
    </row>
    <row r="925" spans="17:20" ht="15" customHeight="1" x14ac:dyDescent="0.25">
      <c r="Q925" s="21"/>
      <c r="R925" s="49"/>
      <c r="S925" s="21"/>
      <c r="T925" s="21"/>
    </row>
    <row r="926" spans="17:20" ht="15" customHeight="1" x14ac:dyDescent="0.25">
      <c r="Q926" s="21"/>
      <c r="R926" s="49"/>
      <c r="S926" s="21"/>
      <c r="T926" s="21"/>
    </row>
    <row r="927" spans="17:20" ht="15" customHeight="1" x14ac:dyDescent="0.25">
      <c r="Q927" s="21"/>
      <c r="R927" s="49"/>
      <c r="S927" s="21"/>
      <c r="T927" s="21"/>
    </row>
    <row r="928" spans="17:20" ht="15" customHeight="1" x14ac:dyDescent="0.25">
      <c r="Q928" s="21"/>
      <c r="R928" s="49"/>
      <c r="S928" s="21"/>
      <c r="T928" s="21"/>
    </row>
    <row r="929" spans="17:20" ht="15" customHeight="1" x14ac:dyDescent="0.25">
      <c r="Q929" s="21"/>
      <c r="R929" s="49"/>
      <c r="S929" s="21"/>
      <c r="T929" s="21"/>
    </row>
    <row r="930" spans="17:20" ht="15" customHeight="1" x14ac:dyDescent="0.25">
      <c r="Q930" s="21"/>
      <c r="R930" s="49"/>
      <c r="S930" s="21"/>
      <c r="T930" s="21"/>
    </row>
    <row r="931" spans="17:20" ht="15" customHeight="1" x14ac:dyDescent="0.25">
      <c r="Q931" s="21"/>
      <c r="R931" s="49"/>
      <c r="S931" s="21"/>
      <c r="T931" s="21"/>
    </row>
    <row r="932" spans="17:20" ht="15" customHeight="1" x14ac:dyDescent="0.25">
      <c r="Q932" s="21"/>
      <c r="R932" s="49"/>
      <c r="S932" s="21"/>
      <c r="T932" s="21"/>
    </row>
    <row r="933" spans="17:20" ht="15" customHeight="1" x14ac:dyDescent="0.25">
      <c r="Q933" s="21"/>
      <c r="R933" s="49"/>
      <c r="S933" s="21"/>
      <c r="T933" s="21"/>
    </row>
    <row r="934" spans="17:20" ht="15" customHeight="1" x14ac:dyDescent="0.25">
      <c r="Q934" s="21"/>
      <c r="R934" s="49"/>
      <c r="S934" s="21"/>
      <c r="T934" s="21"/>
    </row>
    <row r="935" spans="17:20" ht="15" customHeight="1" x14ac:dyDescent="0.25">
      <c r="Q935" s="21"/>
      <c r="R935" s="49"/>
      <c r="S935" s="21"/>
      <c r="T935" s="21"/>
    </row>
    <row r="936" spans="17:20" ht="15" customHeight="1" x14ac:dyDescent="0.25">
      <c r="Q936" s="21"/>
      <c r="R936" s="49"/>
      <c r="S936" s="21"/>
      <c r="T936" s="21"/>
    </row>
    <row r="937" spans="17:20" ht="15" customHeight="1" x14ac:dyDescent="0.25">
      <c r="Q937" s="21"/>
      <c r="R937" s="49"/>
      <c r="S937" s="21"/>
      <c r="T937" s="21"/>
    </row>
    <row r="938" spans="17:20" ht="15" customHeight="1" x14ac:dyDescent="0.25">
      <c r="Q938" s="21"/>
      <c r="R938" s="49"/>
      <c r="S938" s="21"/>
      <c r="T938" s="21"/>
    </row>
    <row r="939" spans="17:20" ht="15" customHeight="1" x14ac:dyDescent="0.25">
      <c r="Q939" s="21"/>
      <c r="R939" s="49"/>
      <c r="S939" s="21"/>
      <c r="T939" s="21"/>
    </row>
    <row r="940" spans="17:20" ht="15" customHeight="1" x14ac:dyDescent="0.25">
      <c r="Q940" s="21"/>
      <c r="R940" s="49"/>
      <c r="S940" s="21"/>
      <c r="T940" s="21"/>
    </row>
    <row r="941" spans="17:20" ht="15" customHeight="1" x14ac:dyDescent="0.25">
      <c r="Q941" s="21"/>
      <c r="R941" s="49"/>
      <c r="S941" s="21"/>
      <c r="T941" s="21"/>
    </row>
    <row r="942" spans="17:20" ht="15" customHeight="1" x14ac:dyDescent="0.25">
      <c r="Q942" s="21"/>
      <c r="R942" s="49"/>
      <c r="S942" s="21"/>
      <c r="T942" s="21"/>
    </row>
    <row r="943" spans="17:20" ht="15" customHeight="1" x14ac:dyDescent="0.25">
      <c r="Q943" s="21"/>
      <c r="R943" s="49"/>
      <c r="S943" s="21"/>
      <c r="T943" s="21"/>
    </row>
    <row r="944" spans="17:20" ht="15" customHeight="1" x14ac:dyDescent="0.25">
      <c r="Q944" s="21"/>
      <c r="R944" s="49"/>
      <c r="S944" s="21"/>
      <c r="T944" s="21"/>
    </row>
    <row r="945" spans="17:20" ht="15" customHeight="1" x14ac:dyDescent="0.25">
      <c r="Q945" s="21"/>
      <c r="R945" s="49"/>
      <c r="S945" s="21"/>
      <c r="T945" s="21"/>
    </row>
    <row r="946" spans="17:20" ht="15" customHeight="1" x14ac:dyDescent="0.25">
      <c r="Q946" s="21"/>
      <c r="R946" s="49"/>
      <c r="S946" s="21"/>
      <c r="T946" s="21"/>
    </row>
    <row r="947" spans="17:20" ht="15" customHeight="1" x14ac:dyDescent="0.25">
      <c r="Q947" s="21"/>
      <c r="R947" s="49"/>
      <c r="S947" s="21"/>
      <c r="T947" s="21"/>
    </row>
    <row r="948" spans="17:20" ht="15" customHeight="1" x14ac:dyDescent="0.25">
      <c r="Q948" s="21"/>
      <c r="R948" s="49"/>
      <c r="S948" s="21"/>
      <c r="T948" s="21"/>
    </row>
    <row r="949" spans="17:20" ht="15" customHeight="1" x14ac:dyDescent="0.25">
      <c r="Q949" s="21"/>
      <c r="R949" s="49"/>
      <c r="S949" s="21"/>
      <c r="T949" s="21"/>
    </row>
    <row r="950" spans="17:20" ht="15" customHeight="1" x14ac:dyDescent="0.25">
      <c r="Q950" s="21"/>
      <c r="R950" s="49"/>
      <c r="S950" s="21"/>
      <c r="T950" s="21"/>
    </row>
    <row r="951" spans="17:20" ht="15" customHeight="1" x14ac:dyDescent="0.25">
      <c r="Q951" s="21"/>
      <c r="R951" s="49"/>
      <c r="S951" s="21"/>
      <c r="T951" s="21"/>
    </row>
    <row r="952" spans="17:20" ht="15" customHeight="1" x14ac:dyDescent="0.25">
      <c r="Q952" s="21"/>
      <c r="R952" s="49"/>
      <c r="S952" s="21"/>
      <c r="T952" s="21"/>
    </row>
    <row r="953" spans="17:20" ht="15" customHeight="1" x14ac:dyDescent="0.25">
      <c r="Q953" s="21"/>
      <c r="R953" s="49"/>
      <c r="S953" s="21"/>
      <c r="T953" s="21"/>
    </row>
    <row r="954" spans="17:20" ht="15" customHeight="1" x14ac:dyDescent="0.25">
      <c r="Q954" s="21"/>
      <c r="R954" s="49"/>
      <c r="S954" s="21"/>
      <c r="T954" s="21"/>
    </row>
    <row r="955" spans="17:20" ht="15" customHeight="1" x14ac:dyDescent="0.25">
      <c r="Q955" s="21"/>
      <c r="R955" s="49"/>
      <c r="S955" s="21"/>
      <c r="T955" s="21"/>
    </row>
    <row r="956" spans="17:20" ht="15" customHeight="1" x14ac:dyDescent="0.25">
      <c r="Q956" s="21"/>
      <c r="R956" s="49"/>
      <c r="S956" s="21"/>
      <c r="T956" s="21"/>
    </row>
    <row r="957" spans="17:20" ht="15" customHeight="1" x14ac:dyDescent="0.25">
      <c r="Q957" s="21"/>
      <c r="R957" s="49"/>
      <c r="S957" s="21"/>
      <c r="T957" s="21"/>
    </row>
    <row r="958" spans="17:20" ht="15" customHeight="1" x14ac:dyDescent="0.25">
      <c r="Q958" s="21"/>
      <c r="R958" s="49"/>
      <c r="S958" s="21"/>
      <c r="T958" s="21"/>
    </row>
    <row r="959" spans="17:20" ht="15" customHeight="1" x14ac:dyDescent="0.25">
      <c r="Q959" s="21"/>
      <c r="R959" s="49"/>
      <c r="S959" s="21"/>
      <c r="T959" s="21"/>
    </row>
    <row r="960" spans="17:20" ht="15" customHeight="1" x14ac:dyDescent="0.25">
      <c r="Q960" s="21"/>
      <c r="R960" s="49"/>
      <c r="S960" s="21"/>
      <c r="T960" s="21"/>
    </row>
    <row r="961" spans="17:20" ht="15" customHeight="1" x14ac:dyDescent="0.25">
      <c r="Q961" s="21"/>
      <c r="R961" s="49"/>
      <c r="S961" s="21"/>
      <c r="T961" s="21"/>
    </row>
    <row r="962" spans="17:20" ht="15" customHeight="1" x14ac:dyDescent="0.25">
      <c r="Q962" s="21"/>
      <c r="R962" s="49"/>
      <c r="S962" s="21"/>
      <c r="T962" s="21"/>
    </row>
    <row r="963" spans="17:20" ht="15" customHeight="1" x14ac:dyDescent="0.25">
      <c r="Q963" s="21"/>
      <c r="R963" s="49"/>
      <c r="S963" s="21"/>
      <c r="T963" s="21"/>
    </row>
    <row r="964" spans="17:20" ht="15" customHeight="1" x14ac:dyDescent="0.25">
      <c r="Q964" s="21"/>
      <c r="R964" s="49"/>
      <c r="S964" s="21"/>
      <c r="T964" s="21"/>
    </row>
    <row r="965" spans="17:20" ht="15" customHeight="1" x14ac:dyDescent="0.25">
      <c r="Q965" s="21"/>
      <c r="R965" s="49"/>
      <c r="S965" s="21"/>
      <c r="T965" s="21"/>
    </row>
    <row r="966" spans="17:20" ht="15" customHeight="1" x14ac:dyDescent="0.25">
      <c r="Q966" s="21"/>
      <c r="R966" s="49"/>
      <c r="S966" s="21"/>
      <c r="T966" s="21"/>
    </row>
    <row r="967" spans="17:20" ht="15" customHeight="1" x14ac:dyDescent="0.25">
      <c r="Q967" s="21"/>
      <c r="R967" s="49"/>
      <c r="S967" s="21"/>
      <c r="T967" s="21"/>
    </row>
    <row r="968" spans="17:20" ht="15" customHeight="1" x14ac:dyDescent="0.25">
      <c r="Q968" s="21"/>
      <c r="R968" s="49"/>
      <c r="S968" s="21"/>
      <c r="T968" s="21"/>
    </row>
    <row r="969" spans="17:20" ht="15" customHeight="1" x14ac:dyDescent="0.25">
      <c r="Q969" s="21"/>
      <c r="R969" s="49"/>
      <c r="S969" s="21"/>
      <c r="T969" s="21"/>
    </row>
    <row r="970" spans="17:20" ht="15" customHeight="1" x14ac:dyDescent="0.25">
      <c r="Q970" s="21"/>
      <c r="R970" s="49"/>
      <c r="S970" s="21"/>
      <c r="T970" s="21"/>
    </row>
    <row r="971" spans="17:20" ht="15" customHeight="1" x14ac:dyDescent="0.25">
      <c r="Q971" s="21"/>
      <c r="R971" s="49"/>
      <c r="S971" s="21"/>
      <c r="T971" s="21"/>
    </row>
    <row r="972" spans="17:20" ht="15" customHeight="1" x14ac:dyDescent="0.25">
      <c r="Q972" s="21"/>
      <c r="R972" s="49"/>
      <c r="S972" s="21"/>
      <c r="T972" s="21"/>
    </row>
    <row r="973" spans="17:20" ht="15" customHeight="1" x14ac:dyDescent="0.25">
      <c r="Q973" s="21"/>
      <c r="R973" s="49"/>
      <c r="S973" s="21"/>
      <c r="T973" s="21"/>
    </row>
    <row r="974" spans="17:20" ht="15" customHeight="1" x14ac:dyDescent="0.25">
      <c r="Q974" s="21"/>
      <c r="R974" s="49"/>
      <c r="S974" s="21"/>
      <c r="T974" s="21"/>
    </row>
    <row r="975" spans="17:20" ht="15" customHeight="1" x14ac:dyDescent="0.25">
      <c r="Q975" s="21"/>
      <c r="R975" s="49"/>
      <c r="S975" s="21"/>
      <c r="T975" s="21"/>
    </row>
    <row r="976" spans="17:20" ht="15" customHeight="1" x14ac:dyDescent="0.25">
      <c r="Q976" s="21"/>
      <c r="R976" s="49"/>
      <c r="S976" s="21"/>
      <c r="T976" s="21"/>
    </row>
    <row r="977" spans="17:20" ht="15" customHeight="1" x14ac:dyDescent="0.25">
      <c r="Q977" s="21"/>
      <c r="R977" s="49"/>
      <c r="S977" s="21"/>
      <c r="T977" s="21"/>
    </row>
    <row r="978" spans="17:20" ht="15" customHeight="1" x14ac:dyDescent="0.25">
      <c r="Q978" s="21"/>
      <c r="R978" s="49"/>
      <c r="S978" s="21"/>
      <c r="T978" s="21"/>
    </row>
    <row r="979" spans="17:20" ht="15" customHeight="1" x14ac:dyDescent="0.25">
      <c r="Q979" s="21"/>
      <c r="R979" s="49"/>
      <c r="S979" s="21"/>
      <c r="T979" s="21"/>
    </row>
    <row r="980" spans="17:20" ht="15" customHeight="1" x14ac:dyDescent="0.25">
      <c r="Q980" s="21"/>
      <c r="R980" s="49"/>
      <c r="S980" s="21"/>
      <c r="T980" s="21"/>
    </row>
    <row r="981" spans="17:20" ht="15" customHeight="1" x14ac:dyDescent="0.25">
      <c r="Q981" s="21"/>
      <c r="R981" s="49"/>
      <c r="S981" s="21"/>
      <c r="T981" s="21"/>
    </row>
    <row r="982" spans="17:20" ht="15" customHeight="1" x14ac:dyDescent="0.25">
      <c r="Q982" s="21"/>
      <c r="R982" s="49"/>
      <c r="S982" s="21"/>
      <c r="T982" s="21"/>
    </row>
    <row r="983" spans="17:20" ht="15" customHeight="1" x14ac:dyDescent="0.25">
      <c r="Q983" s="21"/>
      <c r="R983" s="49"/>
      <c r="S983" s="21"/>
      <c r="T983" s="21"/>
    </row>
    <row r="984" spans="17:20" ht="15" customHeight="1" x14ac:dyDescent="0.25">
      <c r="Q984" s="21"/>
      <c r="R984" s="49"/>
      <c r="S984" s="21"/>
      <c r="T984" s="21"/>
    </row>
    <row r="985" spans="17:20" ht="15" customHeight="1" x14ac:dyDescent="0.25">
      <c r="Q985" s="21"/>
      <c r="R985" s="49"/>
      <c r="S985" s="21"/>
      <c r="T985" s="21"/>
    </row>
    <row r="986" spans="17:20" ht="15" customHeight="1" x14ac:dyDescent="0.25">
      <c r="Q986" s="21"/>
      <c r="R986" s="49"/>
      <c r="S986" s="21"/>
      <c r="T986" s="21"/>
    </row>
    <row r="987" spans="17:20" ht="15" customHeight="1" x14ac:dyDescent="0.25">
      <c r="Q987" s="21"/>
      <c r="R987" s="49"/>
      <c r="S987" s="21"/>
      <c r="T987" s="21"/>
    </row>
    <row r="988" spans="17:20" ht="15" customHeight="1" x14ac:dyDescent="0.25">
      <c r="Q988" s="21"/>
      <c r="R988" s="49"/>
      <c r="S988" s="21"/>
      <c r="T988" s="21"/>
    </row>
    <row r="989" spans="17:20" ht="15" customHeight="1" x14ac:dyDescent="0.25">
      <c r="Q989" s="21"/>
      <c r="R989" s="49"/>
      <c r="S989" s="21"/>
      <c r="T989" s="21"/>
    </row>
    <row r="990" spans="17:20" ht="15" customHeight="1" x14ac:dyDescent="0.25">
      <c r="Q990" s="21"/>
      <c r="R990" s="49"/>
      <c r="S990" s="21"/>
      <c r="T990" s="21"/>
    </row>
    <row r="991" spans="17:20" ht="15" customHeight="1" x14ac:dyDescent="0.25">
      <c r="Q991" s="21"/>
      <c r="R991" s="49"/>
      <c r="S991" s="21"/>
      <c r="T991" s="21"/>
    </row>
    <row r="992" spans="17:20" ht="15" customHeight="1" x14ac:dyDescent="0.25">
      <c r="Q992" s="21"/>
      <c r="R992" s="49"/>
      <c r="S992" s="21"/>
      <c r="T992" s="21"/>
    </row>
    <row r="993" spans="17:20" ht="15" customHeight="1" x14ac:dyDescent="0.25">
      <c r="Q993" s="21"/>
      <c r="R993" s="49"/>
      <c r="S993" s="21"/>
      <c r="T993" s="21"/>
    </row>
    <row r="994" spans="17:20" ht="15" customHeight="1" x14ac:dyDescent="0.25">
      <c r="Q994" s="21"/>
      <c r="R994" s="49"/>
      <c r="S994" s="21"/>
      <c r="T994" s="21"/>
    </row>
    <row r="995" spans="17:20" ht="15" customHeight="1" x14ac:dyDescent="0.25">
      <c r="Q995" s="21"/>
      <c r="R995" s="49"/>
      <c r="S995" s="21"/>
      <c r="T995" s="21"/>
    </row>
    <row r="996" spans="17:20" ht="15" customHeight="1" x14ac:dyDescent="0.25">
      <c r="Q996" s="21"/>
      <c r="R996" s="49"/>
      <c r="S996" s="21"/>
      <c r="T996" s="21"/>
    </row>
    <row r="997" spans="17:20" ht="15" customHeight="1" x14ac:dyDescent="0.25">
      <c r="Q997" s="21"/>
      <c r="R997" s="49"/>
      <c r="S997" s="21"/>
      <c r="T997" s="21"/>
    </row>
    <row r="998" spans="17:20" ht="15" customHeight="1" x14ac:dyDescent="0.25">
      <c r="Q998" s="21"/>
      <c r="R998" s="49"/>
      <c r="S998" s="21"/>
      <c r="T998" s="21"/>
    </row>
    <row r="999" spans="17:20" ht="15" customHeight="1" x14ac:dyDescent="0.25">
      <c r="Q999" s="21"/>
      <c r="R999" s="49"/>
      <c r="S999" s="21"/>
      <c r="T999" s="21"/>
    </row>
    <row r="1000" spans="17:20" ht="15" customHeight="1" x14ac:dyDescent="0.25">
      <c r="Q1000" s="21"/>
      <c r="R1000" s="49"/>
      <c r="S1000" s="21"/>
      <c r="T1000" s="21"/>
    </row>
    <row r="1001" spans="17:20" ht="15" customHeight="1" x14ac:dyDescent="0.25">
      <c r="Q1001" s="21"/>
      <c r="R1001" s="49"/>
      <c r="S1001" s="21"/>
      <c r="T1001" s="21"/>
    </row>
    <row r="1002" spans="17:20" ht="15" customHeight="1" x14ac:dyDescent="0.25">
      <c r="Q1002" s="21"/>
      <c r="R1002" s="49"/>
      <c r="S1002" s="21"/>
      <c r="T1002" s="21"/>
    </row>
    <row r="1003" spans="17:20" ht="15" customHeight="1" x14ac:dyDescent="0.25">
      <c r="Q1003" s="21"/>
      <c r="R1003" s="49"/>
      <c r="S1003" s="21"/>
      <c r="T1003" s="21"/>
    </row>
    <row r="1004" spans="17:20" ht="15" customHeight="1" x14ac:dyDescent="0.25">
      <c r="Q1004" s="21"/>
      <c r="R1004" s="49"/>
      <c r="S1004" s="21"/>
      <c r="T1004" s="21"/>
    </row>
    <row r="1005" spans="17:20" ht="15" customHeight="1" x14ac:dyDescent="0.25">
      <c r="Q1005" s="21"/>
      <c r="R1005" s="49"/>
      <c r="S1005" s="21"/>
      <c r="T1005" s="21"/>
    </row>
    <row r="1006" spans="17:20" ht="15" customHeight="1" x14ac:dyDescent="0.25">
      <c r="Q1006" s="21"/>
      <c r="R1006" s="49"/>
      <c r="S1006" s="21"/>
      <c r="T1006" s="21"/>
    </row>
    <row r="1007" spans="17:20" ht="15" customHeight="1" x14ac:dyDescent="0.25">
      <c r="Q1007" s="21"/>
      <c r="R1007" s="49"/>
      <c r="S1007" s="21"/>
      <c r="T1007" s="21"/>
    </row>
    <row r="1008" spans="17:20" ht="15" customHeight="1" x14ac:dyDescent="0.25">
      <c r="Q1008" s="21"/>
      <c r="R1008" s="49"/>
      <c r="S1008" s="21"/>
      <c r="T1008" s="21"/>
    </row>
    <row r="1009" spans="17:20" ht="15" customHeight="1" x14ac:dyDescent="0.25">
      <c r="Q1009" s="21"/>
      <c r="R1009" s="49"/>
      <c r="S1009" s="21"/>
      <c r="T1009" s="21"/>
    </row>
    <row r="1010" spans="17:20" ht="15" customHeight="1" x14ac:dyDescent="0.25">
      <c r="Q1010" s="21"/>
      <c r="R1010" s="49"/>
      <c r="S1010" s="21"/>
      <c r="T1010" s="21"/>
    </row>
    <row r="1011" spans="17:20" ht="15" customHeight="1" x14ac:dyDescent="0.25">
      <c r="Q1011" s="21"/>
      <c r="R1011" s="49"/>
      <c r="S1011" s="21"/>
      <c r="T1011" s="21"/>
    </row>
    <row r="1012" spans="17:20" ht="15" customHeight="1" x14ac:dyDescent="0.25">
      <c r="Q1012" s="21"/>
      <c r="R1012" s="49"/>
      <c r="S1012" s="21"/>
      <c r="T1012" s="21"/>
    </row>
    <row r="1013" spans="17:20" ht="15" customHeight="1" x14ac:dyDescent="0.25">
      <c r="Q1013" s="21"/>
      <c r="R1013" s="49"/>
      <c r="S1013" s="21"/>
      <c r="T1013" s="21"/>
    </row>
    <row r="1014" spans="17:20" ht="15" customHeight="1" x14ac:dyDescent="0.25">
      <c r="Q1014" s="21"/>
      <c r="R1014" s="49"/>
      <c r="S1014" s="21"/>
      <c r="T1014" s="21"/>
    </row>
    <row r="1015" spans="17:20" ht="15" customHeight="1" x14ac:dyDescent="0.25">
      <c r="Q1015" s="21"/>
      <c r="R1015" s="49"/>
      <c r="S1015" s="21"/>
      <c r="T1015" s="21"/>
    </row>
    <row r="1016" spans="17:20" ht="15" customHeight="1" x14ac:dyDescent="0.25">
      <c r="Q1016" s="21"/>
      <c r="R1016" s="49"/>
      <c r="S1016" s="21"/>
      <c r="T1016" s="21"/>
    </row>
    <row r="1017" spans="17:20" ht="15" customHeight="1" x14ac:dyDescent="0.25">
      <c r="Q1017" s="21"/>
      <c r="R1017" s="49"/>
      <c r="S1017" s="21"/>
      <c r="T1017" s="21"/>
    </row>
    <row r="1018" spans="17:20" ht="15" customHeight="1" x14ac:dyDescent="0.25">
      <c r="Q1018" s="21"/>
      <c r="R1018" s="49"/>
      <c r="S1018" s="21"/>
      <c r="T1018" s="21"/>
    </row>
    <row r="1019" spans="17:20" ht="15" customHeight="1" x14ac:dyDescent="0.25">
      <c r="Q1019" s="21"/>
      <c r="R1019" s="49"/>
      <c r="S1019" s="21"/>
      <c r="T1019" s="21"/>
    </row>
    <row r="1020" spans="17:20" ht="15" customHeight="1" x14ac:dyDescent="0.25">
      <c r="Q1020" s="21"/>
      <c r="R1020" s="49"/>
      <c r="S1020" s="21"/>
      <c r="T1020" s="21"/>
    </row>
    <row r="1021" spans="17:20" ht="15" customHeight="1" x14ac:dyDescent="0.25">
      <c r="Q1021" s="21"/>
      <c r="R1021" s="49"/>
      <c r="S1021" s="21"/>
      <c r="T1021" s="21"/>
    </row>
    <row r="1022" spans="17:20" ht="15" customHeight="1" x14ac:dyDescent="0.25">
      <c r="Q1022" s="21"/>
      <c r="R1022" s="49"/>
      <c r="S1022" s="21"/>
      <c r="T1022" s="21"/>
    </row>
    <row r="1023" spans="17:20" ht="15" customHeight="1" x14ac:dyDescent="0.25">
      <c r="Q1023" s="21"/>
      <c r="R1023" s="49"/>
      <c r="S1023" s="21"/>
      <c r="T1023" s="21"/>
    </row>
    <row r="1024" spans="17:20" ht="15" customHeight="1" x14ac:dyDescent="0.25">
      <c r="Q1024" s="21"/>
      <c r="R1024" s="49"/>
      <c r="S1024" s="21"/>
      <c r="T1024" s="21"/>
    </row>
    <row r="1025" spans="17:20" ht="15" customHeight="1" x14ac:dyDescent="0.25">
      <c r="Q1025" s="21"/>
      <c r="R1025" s="49"/>
      <c r="S1025" s="21"/>
      <c r="T1025" s="21"/>
    </row>
    <row r="1026" spans="17:20" ht="15" customHeight="1" x14ac:dyDescent="0.25">
      <c r="Q1026" s="21"/>
      <c r="R1026" s="49"/>
      <c r="S1026" s="21"/>
      <c r="T1026" s="21"/>
    </row>
    <row r="1027" spans="17:20" ht="15" customHeight="1" x14ac:dyDescent="0.25">
      <c r="Q1027" s="21"/>
      <c r="R1027" s="49"/>
      <c r="S1027" s="21"/>
      <c r="T1027" s="21"/>
    </row>
    <row r="1028" spans="17:20" ht="15" customHeight="1" x14ac:dyDescent="0.25">
      <c r="Q1028" s="21"/>
      <c r="R1028" s="49"/>
      <c r="S1028" s="21"/>
      <c r="T1028" s="21"/>
    </row>
    <row r="1029" spans="17:20" ht="15" customHeight="1" x14ac:dyDescent="0.25">
      <c r="Q1029" s="21"/>
      <c r="R1029" s="49"/>
      <c r="S1029" s="21"/>
      <c r="T1029" s="21"/>
    </row>
    <row r="1030" spans="17:20" ht="15" customHeight="1" x14ac:dyDescent="0.25">
      <c r="Q1030" s="21"/>
      <c r="R1030" s="49"/>
      <c r="S1030" s="21"/>
      <c r="T1030" s="21"/>
    </row>
    <row r="1031" spans="17:20" ht="15" customHeight="1" x14ac:dyDescent="0.25">
      <c r="Q1031" s="21"/>
      <c r="R1031" s="49"/>
      <c r="S1031" s="21"/>
      <c r="T1031" s="21"/>
    </row>
    <row r="1032" spans="17:20" ht="15" customHeight="1" x14ac:dyDescent="0.25">
      <c r="Q1032" s="21"/>
      <c r="R1032" s="49"/>
      <c r="S1032" s="21"/>
      <c r="T1032" s="21"/>
    </row>
    <row r="1033" spans="17:20" ht="15" customHeight="1" x14ac:dyDescent="0.25">
      <c r="Q1033" s="21"/>
      <c r="R1033" s="49"/>
      <c r="S1033" s="21"/>
      <c r="T1033" s="21"/>
    </row>
    <row r="1034" spans="17:20" ht="15" customHeight="1" x14ac:dyDescent="0.25">
      <c r="Q1034" s="21"/>
      <c r="R1034" s="49"/>
      <c r="S1034" s="21"/>
      <c r="T1034" s="21"/>
    </row>
    <row r="1035" spans="17:20" ht="15" customHeight="1" x14ac:dyDescent="0.25">
      <c r="Q1035" s="21"/>
      <c r="R1035" s="49"/>
      <c r="S1035" s="21"/>
      <c r="T1035" s="21"/>
    </row>
    <row r="1036" spans="17:20" ht="15" customHeight="1" x14ac:dyDescent="0.25">
      <c r="Q1036" s="21"/>
      <c r="R1036" s="49"/>
      <c r="S1036" s="21"/>
      <c r="T1036" s="21"/>
    </row>
    <row r="1037" spans="17:20" ht="15" customHeight="1" x14ac:dyDescent="0.25">
      <c r="Q1037" s="21"/>
      <c r="R1037" s="49"/>
      <c r="S1037" s="21"/>
      <c r="T1037" s="21"/>
    </row>
    <row r="1038" spans="17:20" ht="15" customHeight="1" x14ac:dyDescent="0.25">
      <c r="Q1038" s="21"/>
      <c r="R1038" s="49"/>
      <c r="S1038" s="21"/>
      <c r="T1038" s="21"/>
    </row>
    <row r="1039" spans="17:20" ht="15" customHeight="1" x14ac:dyDescent="0.25">
      <c r="Q1039" s="21"/>
      <c r="R1039" s="49"/>
      <c r="S1039" s="21"/>
      <c r="T1039" s="21"/>
    </row>
    <row r="1040" spans="17:20" ht="15" customHeight="1" x14ac:dyDescent="0.25">
      <c r="Q1040" s="21"/>
      <c r="R1040" s="49"/>
      <c r="S1040" s="21"/>
      <c r="T1040" s="21"/>
    </row>
    <row r="1041" spans="17:20" ht="15" customHeight="1" x14ac:dyDescent="0.25">
      <c r="Q1041" s="21"/>
      <c r="R1041" s="49"/>
      <c r="S1041" s="21"/>
      <c r="T1041" s="21"/>
    </row>
    <row r="1042" spans="17:20" ht="15" customHeight="1" x14ac:dyDescent="0.25">
      <c r="Q1042" s="21"/>
      <c r="R1042" s="49"/>
      <c r="S1042" s="21"/>
      <c r="T1042" s="21"/>
    </row>
    <row r="1043" spans="17:20" ht="15" customHeight="1" x14ac:dyDescent="0.25">
      <c r="Q1043" s="21"/>
      <c r="R1043" s="49"/>
      <c r="S1043" s="21"/>
      <c r="T1043" s="21"/>
    </row>
    <row r="1044" spans="17:20" ht="15" customHeight="1" x14ac:dyDescent="0.25">
      <c r="Q1044" s="21"/>
      <c r="R1044" s="49"/>
      <c r="S1044" s="21"/>
      <c r="T1044" s="21"/>
    </row>
    <row r="1045" spans="17:20" ht="15" customHeight="1" x14ac:dyDescent="0.25">
      <c r="Q1045" s="21"/>
      <c r="R1045" s="49"/>
      <c r="S1045" s="21"/>
      <c r="T1045" s="21"/>
    </row>
    <row r="1046" spans="17:20" ht="15" customHeight="1" x14ac:dyDescent="0.25">
      <c r="Q1046" s="21"/>
      <c r="R1046" s="49"/>
      <c r="S1046" s="21"/>
      <c r="T1046" s="21"/>
    </row>
    <row r="1047" spans="17:20" ht="15" customHeight="1" x14ac:dyDescent="0.25">
      <c r="Q1047" s="21"/>
      <c r="R1047" s="49"/>
      <c r="S1047" s="21"/>
      <c r="T1047" s="21"/>
    </row>
    <row r="1048" spans="17:20" ht="15" customHeight="1" x14ac:dyDescent="0.25">
      <c r="Q1048" s="21"/>
      <c r="R1048" s="49"/>
      <c r="S1048" s="21"/>
      <c r="T1048" s="21"/>
    </row>
    <row r="1049" spans="17:20" ht="15" customHeight="1" x14ac:dyDescent="0.25">
      <c r="Q1049" s="21"/>
      <c r="R1049" s="49"/>
      <c r="S1049" s="21"/>
      <c r="T1049" s="21"/>
    </row>
    <row r="1050" spans="17:20" ht="15" customHeight="1" x14ac:dyDescent="0.25">
      <c r="Q1050" s="21"/>
      <c r="R1050" s="49"/>
      <c r="S1050" s="21"/>
      <c r="T1050" s="21"/>
    </row>
    <row r="1051" spans="17:20" ht="15" customHeight="1" x14ac:dyDescent="0.25">
      <c r="Q1051" s="21"/>
      <c r="R1051" s="49"/>
      <c r="S1051" s="21"/>
      <c r="T1051" s="21"/>
    </row>
    <row r="1052" spans="17:20" ht="15" customHeight="1" x14ac:dyDescent="0.25">
      <c r="Q1052" s="21"/>
      <c r="R1052" s="49"/>
      <c r="S1052" s="21"/>
      <c r="T1052" s="21"/>
    </row>
    <row r="1053" spans="17:20" ht="15" customHeight="1" x14ac:dyDescent="0.25">
      <c r="Q1053" s="21"/>
      <c r="R1053" s="49"/>
      <c r="S1053" s="21"/>
      <c r="T1053" s="21"/>
    </row>
    <row r="1054" spans="17:20" ht="15" customHeight="1" x14ac:dyDescent="0.25">
      <c r="Q1054" s="21"/>
      <c r="R1054" s="49"/>
      <c r="S1054" s="21"/>
      <c r="T1054" s="21"/>
    </row>
    <row r="1055" spans="17:20" ht="15" customHeight="1" x14ac:dyDescent="0.25">
      <c r="Q1055" s="21"/>
      <c r="R1055" s="49"/>
      <c r="S1055" s="21"/>
      <c r="T1055" s="21"/>
    </row>
    <row r="1056" spans="17:20" ht="15" customHeight="1" x14ac:dyDescent="0.25">
      <c r="Q1056" s="21"/>
      <c r="R1056" s="49"/>
      <c r="S1056" s="21"/>
      <c r="T1056" s="21"/>
    </row>
    <row r="1057" spans="17:20" ht="15" customHeight="1" x14ac:dyDescent="0.25">
      <c r="Q1057" s="21"/>
      <c r="R1057" s="49"/>
      <c r="S1057" s="21"/>
      <c r="T1057" s="21"/>
    </row>
    <row r="1058" spans="17:20" ht="15" customHeight="1" x14ac:dyDescent="0.25">
      <c r="Q1058" s="21"/>
      <c r="R1058" s="49"/>
      <c r="S1058" s="21"/>
      <c r="T1058" s="21"/>
    </row>
    <row r="1059" spans="17:20" ht="15" customHeight="1" x14ac:dyDescent="0.25">
      <c r="Q1059" s="21"/>
      <c r="R1059" s="49"/>
      <c r="S1059" s="21"/>
      <c r="T1059" s="21"/>
    </row>
    <row r="1060" spans="17:20" ht="15" customHeight="1" x14ac:dyDescent="0.25">
      <c r="Q1060" s="21"/>
      <c r="R1060" s="49"/>
      <c r="S1060" s="21"/>
      <c r="T1060" s="21"/>
    </row>
    <row r="1061" spans="17:20" ht="15" customHeight="1" x14ac:dyDescent="0.25">
      <c r="Q1061" s="21"/>
      <c r="R1061" s="49"/>
      <c r="S1061" s="21"/>
      <c r="T1061" s="21"/>
    </row>
    <row r="1062" spans="17:20" ht="15" customHeight="1" x14ac:dyDescent="0.25">
      <c r="Q1062" s="21"/>
      <c r="R1062" s="49"/>
      <c r="S1062" s="21"/>
      <c r="T1062" s="21"/>
    </row>
    <row r="1063" spans="17:20" ht="15" customHeight="1" x14ac:dyDescent="0.25">
      <c r="Q1063" s="21"/>
      <c r="R1063" s="49"/>
      <c r="S1063" s="21"/>
      <c r="T1063" s="21"/>
    </row>
    <row r="1064" spans="17:20" ht="15" customHeight="1" x14ac:dyDescent="0.25">
      <c r="Q1064" s="21"/>
      <c r="R1064" s="49"/>
      <c r="S1064" s="21"/>
      <c r="T1064" s="21"/>
    </row>
    <row r="1065" spans="17:20" ht="15" customHeight="1" x14ac:dyDescent="0.25">
      <c r="Q1065" s="21"/>
      <c r="R1065" s="49"/>
      <c r="S1065" s="21"/>
      <c r="T1065" s="21"/>
    </row>
    <row r="1066" spans="17:20" ht="15" customHeight="1" x14ac:dyDescent="0.25">
      <c r="Q1066" s="21"/>
      <c r="R1066" s="49"/>
      <c r="S1066" s="21"/>
      <c r="T1066" s="21"/>
    </row>
    <row r="1067" spans="17:20" ht="15" customHeight="1" x14ac:dyDescent="0.25">
      <c r="Q1067" s="21"/>
      <c r="R1067" s="49"/>
      <c r="S1067" s="21"/>
      <c r="T1067" s="21"/>
    </row>
    <row r="1068" spans="17:20" ht="15" customHeight="1" x14ac:dyDescent="0.25">
      <c r="Q1068" s="21"/>
      <c r="R1068" s="49"/>
      <c r="S1068" s="21"/>
      <c r="T1068" s="21"/>
    </row>
    <row r="1069" spans="17:20" ht="15" customHeight="1" x14ac:dyDescent="0.25">
      <c r="Q1069" s="21"/>
      <c r="R1069" s="49"/>
      <c r="S1069" s="21"/>
      <c r="T1069" s="21"/>
    </row>
    <row r="1070" spans="17:20" ht="15" customHeight="1" x14ac:dyDescent="0.25">
      <c r="Q1070" s="21"/>
      <c r="R1070" s="49"/>
      <c r="S1070" s="21"/>
      <c r="T1070" s="21"/>
    </row>
    <row r="1071" spans="17:20" ht="15" customHeight="1" x14ac:dyDescent="0.25">
      <c r="Q1071" s="21"/>
      <c r="R1071" s="49"/>
      <c r="S1071" s="21"/>
      <c r="T1071" s="21"/>
    </row>
    <row r="1072" spans="17:20" ht="15" customHeight="1" x14ac:dyDescent="0.25">
      <c r="Q1072" s="21"/>
      <c r="R1072" s="49"/>
      <c r="S1072" s="21"/>
      <c r="T1072" s="21"/>
    </row>
    <row r="1073" spans="17:20" ht="15" customHeight="1" x14ac:dyDescent="0.25">
      <c r="Q1073" s="21"/>
      <c r="R1073" s="49"/>
      <c r="S1073" s="21"/>
      <c r="T1073" s="21"/>
    </row>
    <row r="1074" spans="17:20" ht="15" customHeight="1" x14ac:dyDescent="0.25">
      <c r="Q1074" s="21"/>
      <c r="R1074" s="49"/>
      <c r="S1074" s="21"/>
      <c r="T1074" s="21"/>
    </row>
    <row r="1075" spans="17:20" ht="15" customHeight="1" x14ac:dyDescent="0.25">
      <c r="Q1075" s="21"/>
      <c r="R1075" s="49"/>
      <c r="S1075" s="21"/>
      <c r="T1075" s="21"/>
    </row>
    <row r="1076" spans="17:20" ht="15" customHeight="1" x14ac:dyDescent="0.25">
      <c r="Q1076" s="21"/>
      <c r="R1076" s="49"/>
      <c r="S1076" s="21"/>
      <c r="T1076" s="21"/>
    </row>
    <row r="1077" spans="17:20" ht="15" customHeight="1" x14ac:dyDescent="0.25">
      <c r="Q1077" s="21"/>
      <c r="R1077" s="49"/>
      <c r="S1077" s="21"/>
      <c r="T1077" s="21"/>
    </row>
    <row r="1078" spans="17:20" ht="15" customHeight="1" x14ac:dyDescent="0.25">
      <c r="Q1078" s="21"/>
      <c r="R1078" s="49"/>
      <c r="S1078" s="21"/>
      <c r="T1078" s="21"/>
    </row>
    <row r="1079" spans="17:20" ht="15" customHeight="1" x14ac:dyDescent="0.25">
      <c r="Q1079" s="21"/>
      <c r="R1079" s="49"/>
      <c r="S1079" s="21"/>
      <c r="T1079" s="21"/>
    </row>
    <row r="1080" spans="17:20" ht="15" customHeight="1" x14ac:dyDescent="0.25">
      <c r="Q1080" s="21"/>
      <c r="R1080" s="49"/>
      <c r="S1080" s="21"/>
      <c r="T1080" s="21"/>
    </row>
    <row r="1081" spans="17:20" ht="15" customHeight="1" x14ac:dyDescent="0.25">
      <c r="Q1081" s="21"/>
      <c r="R1081" s="49"/>
      <c r="S1081" s="21"/>
      <c r="T1081" s="21"/>
    </row>
    <row r="1082" spans="17:20" ht="15" customHeight="1" x14ac:dyDescent="0.25">
      <c r="Q1082" s="21"/>
      <c r="R1082" s="49"/>
      <c r="S1082" s="21"/>
      <c r="T1082" s="21"/>
    </row>
    <row r="1083" spans="17:20" ht="15" customHeight="1" x14ac:dyDescent="0.25">
      <c r="Q1083" s="21"/>
      <c r="R1083" s="49"/>
      <c r="S1083" s="21"/>
      <c r="T1083" s="21"/>
    </row>
    <row r="1084" spans="17:20" ht="15" customHeight="1" x14ac:dyDescent="0.25">
      <c r="Q1084" s="21"/>
      <c r="R1084" s="49"/>
      <c r="S1084" s="21"/>
      <c r="T1084" s="21"/>
    </row>
    <row r="1085" spans="17:20" ht="15" customHeight="1" x14ac:dyDescent="0.25">
      <c r="Q1085" s="21"/>
      <c r="R1085" s="49"/>
      <c r="S1085" s="21"/>
      <c r="T1085" s="21"/>
    </row>
    <row r="1086" spans="17:20" ht="15" customHeight="1" x14ac:dyDescent="0.25">
      <c r="Q1086" s="21"/>
      <c r="R1086" s="49"/>
      <c r="S1086" s="21"/>
      <c r="T1086" s="21"/>
    </row>
    <row r="1087" spans="17:20" ht="15" customHeight="1" x14ac:dyDescent="0.25">
      <c r="Q1087" s="21"/>
      <c r="R1087" s="49"/>
      <c r="S1087" s="21"/>
      <c r="T1087" s="21"/>
    </row>
    <row r="1088" spans="17:20" ht="15" customHeight="1" x14ac:dyDescent="0.25">
      <c r="Q1088" s="21"/>
      <c r="R1088" s="49"/>
      <c r="S1088" s="21"/>
      <c r="T1088" s="21"/>
    </row>
    <row r="1089" spans="17:20" ht="15" customHeight="1" x14ac:dyDescent="0.25">
      <c r="Q1089" s="21"/>
      <c r="R1089" s="49"/>
      <c r="S1089" s="21"/>
      <c r="T1089" s="21"/>
    </row>
    <row r="1090" spans="17:20" ht="15" customHeight="1" x14ac:dyDescent="0.25">
      <c r="Q1090" s="21"/>
      <c r="R1090" s="49"/>
      <c r="S1090" s="21"/>
      <c r="T1090" s="21"/>
    </row>
    <row r="1091" spans="17:20" ht="15" customHeight="1" x14ac:dyDescent="0.25">
      <c r="Q1091" s="21"/>
      <c r="R1091" s="49"/>
      <c r="S1091" s="21"/>
      <c r="T1091" s="21"/>
    </row>
    <row r="1092" spans="17:20" ht="15" customHeight="1" x14ac:dyDescent="0.25">
      <c r="Q1092" s="21"/>
      <c r="R1092" s="49"/>
      <c r="S1092" s="21"/>
      <c r="T1092" s="21"/>
    </row>
    <row r="1093" spans="17:20" ht="15" customHeight="1" x14ac:dyDescent="0.25">
      <c r="Q1093" s="21"/>
      <c r="R1093" s="49"/>
      <c r="S1093" s="21"/>
      <c r="T1093" s="21"/>
    </row>
    <row r="1094" spans="17:20" ht="15" customHeight="1" x14ac:dyDescent="0.25">
      <c r="Q1094" s="21"/>
      <c r="R1094" s="49"/>
      <c r="S1094" s="21"/>
      <c r="T1094" s="21"/>
    </row>
    <row r="1095" spans="17:20" ht="15" customHeight="1" x14ac:dyDescent="0.25">
      <c r="Q1095" s="21"/>
      <c r="R1095" s="49"/>
      <c r="S1095" s="21"/>
      <c r="T1095" s="21"/>
    </row>
    <row r="1096" spans="17:20" ht="15" customHeight="1" x14ac:dyDescent="0.25">
      <c r="Q1096" s="21"/>
      <c r="R1096" s="49"/>
      <c r="S1096" s="21"/>
      <c r="T1096" s="21"/>
    </row>
    <row r="1097" spans="17:20" ht="15" customHeight="1" x14ac:dyDescent="0.25">
      <c r="Q1097" s="21"/>
      <c r="R1097" s="49"/>
      <c r="S1097" s="21"/>
      <c r="T1097" s="21"/>
    </row>
    <row r="1098" spans="17:20" ht="15" customHeight="1" x14ac:dyDescent="0.25">
      <c r="Q1098" s="21"/>
      <c r="R1098" s="49"/>
      <c r="S1098" s="21"/>
      <c r="T1098" s="21"/>
    </row>
    <row r="1099" spans="17:20" ht="15" customHeight="1" x14ac:dyDescent="0.25">
      <c r="Q1099" s="21"/>
      <c r="R1099" s="49"/>
      <c r="S1099" s="21"/>
      <c r="T1099" s="21"/>
    </row>
    <row r="1100" spans="17:20" ht="15" customHeight="1" x14ac:dyDescent="0.25">
      <c r="Q1100" s="21"/>
      <c r="R1100" s="49"/>
      <c r="S1100" s="21"/>
      <c r="T1100" s="21"/>
    </row>
    <row r="1101" spans="17:20" ht="15" customHeight="1" x14ac:dyDescent="0.25">
      <c r="Q1101" s="21"/>
      <c r="R1101" s="49"/>
      <c r="S1101" s="21"/>
      <c r="T1101" s="21"/>
    </row>
    <row r="1102" spans="17:20" ht="15" customHeight="1" x14ac:dyDescent="0.25">
      <c r="Q1102" s="21"/>
      <c r="R1102" s="49"/>
      <c r="S1102" s="21"/>
      <c r="T1102" s="21"/>
    </row>
    <row r="1103" spans="17:20" ht="15" customHeight="1" x14ac:dyDescent="0.25">
      <c r="Q1103" s="21"/>
      <c r="R1103" s="49"/>
      <c r="S1103" s="21"/>
      <c r="T1103" s="21"/>
    </row>
    <row r="1104" spans="17:20" ht="15" customHeight="1" x14ac:dyDescent="0.25">
      <c r="Q1104" s="21"/>
      <c r="R1104" s="49"/>
      <c r="S1104" s="21"/>
      <c r="T1104" s="21"/>
    </row>
    <row r="1105" spans="17:20" ht="15" customHeight="1" x14ac:dyDescent="0.25">
      <c r="Q1105" s="21"/>
      <c r="R1105" s="49"/>
      <c r="S1105" s="21"/>
      <c r="T1105" s="21"/>
    </row>
    <row r="1106" spans="17:20" ht="15" customHeight="1" x14ac:dyDescent="0.25">
      <c r="Q1106" s="21"/>
      <c r="R1106" s="49"/>
      <c r="S1106" s="21"/>
      <c r="T1106" s="21"/>
    </row>
    <row r="1107" spans="17:20" ht="15" customHeight="1" x14ac:dyDescent="0.25">
      <c r="Q1107" s="21"/>
      <c r="R1107" s="49"/>
      <c r="S1107" s="21"/>
      <c r="T1107" s="21"/>
    </row>
    <row r="1108" spans="17:20" ht="15" customHeight="1" x14ac:dyDescent="0.25">
      <c r="Q1108" s="21"/>
      <c r="R1108" s="49"/>
      <c r="S1108" s="21"/>
      <c r="T1108" s="21"/>
    </row>
    <row r="1109" spans="17:20" ht="15" customHeight="1" x14ac:dyDescent="0.25">
      <c r="Q1109" s="21"/>
      <c r="R1109" s="49"/>
      <c r="S1109" s="21"/>
      <c r="T1109" s="21"/>
    </row>
    <row r="1110" spans="17:20" ht="15" customHeight="1" x14ac:dyDescent="0.25">
      <c r="Q1110" s="21"/>
      <c r="R1110" s="49"/>
      <c r="S1110" s="21"/>
      <c r="T1110" s="21"/>
    </row>
    <row r="1111" spans="17:20" ht="15" customHeight="1" x14ac:dyDescent="0.25">
      <c r="Q1111" s="21"/>
      <c r="R1111" s="49"/>
      <c r="S1111" s="21"/>
      <c r="T1111" s="21"/>
    </row>
    <row r="1112" spans="17:20" ht="15" customHeight="1" x14ac:dyDescent="0.25">
      <c r="Q1112" s="21"/>
      <c r="R1112" s="49"/>
      <c r="S1112" s="21"/>
      <c r="T1112" s="21"/>
    </row>
    <row r="1113" spans="17:20" ht="15" customHeight="1" x14ac:dyDescent="0.25">
      <c r="Q1113" s="21"/>
      <c r="R1113" s="49"/>
      <c r="S1113" s="21"/>
      <c r="T1113" s="21"/>
    </row>
    <row r="1114" spans="17:20" ht="15" customHeight="1" x14ac:dyDescent="0.25">
      <c r="Q1114" s="21"/>
      <c r="R1114" s="49"/>
      <c r="S1114" s="21"/>
      <c r="T1114" s="21"/>
    </row>
    <row r="1115" spans="17:20" ht="15" customHeight="1" x14ac:dyDescent="0.25">
      <c r="Q1115" s="21"/>
      <c r="R1115" s="49"/>
      <c r="S1115" s="21"/>
      <c r="T1115" s="21"/>
    </row>
    <row r="1116" spans="17:20" ht="15" customHeight="1" x14ac:dyDescent="0.25">
      <c r="Q1116" s="21"/>
      <c r="R1116" s="49"/>
      <c r="S1116" s="21"/>
      <c r="T1116" s="21"/>
    </row>
    <row r="1117" spans="17:20" ht="15" customHeight="1" x14ac:dyDescent="0.25">
      <c r="Q1117" s="21"/>
      <c r="R1117" s="49"/>
      <c r="S1117" s="21"/>
      <c r="T1117" s="21"/>
    </row>
    <row r="1118" spans="17:20" ht="15" customHeight="1" x14ac:dyDescent="0.25">
      <c r="Q1118" s="21"/>
      <c r="R1118" s="49"/>
      <c r="S1118" s="21"/>
      <c r="T1118" s="21"/>
    </row>
    <row r="1119" spans="17:20" ht="15" customHeight="1" x14ac:dyDescent="0.25">
      <c r="Q1119" s="21"/>
      <c r="R1119" s="49"/>
      <c r="S1119" s="21"/>
      <c r="T1119" s="21"/>
    </row>
    <row r="1120" spans="17:20" ht="15" customHeight="1" x14ac:dyDescent="0.25">
      <c r="Q1120" s="21"/>
      <c r="R1120" s="49"/>
      <c r="S1120" s="21"/>
      <c r="T1120" s="21"/>
    </row>
    <row r="1121" spans="17:20" ht="15" customHeight="1" x14ac:dyDescent="0.25">
      <c r="Q1121" s="21"/>
      <c r="R1121" s="49"/>
      <c r="S1121" s="21"/>
      <c r="T1121" s="21"/>
    </row>
    <row r="1122" spans="17:20" ht="15" customHeight="1" x14ac:dyDescent="0.25">
      <c r="Q1122" s="21"/>
      <c r="R1122" s="49"/>
      <c r="S1122" s="21"/>
      <c r="T1122" s="21"/>
    </row>
    <row r="1123" spans="17:20" ht="15" customHeight="1" x14ac:dyDescent="0.25">
      <c r="Q1123" s="21"/>
      <c r="R1123" s="49"/>
      <c r="S1123" s="21"/>
      <c r="T1123" s="21"/>
    </row>
    <row r="1124" spans="17:20" ht="15" customHeight="1" x14ac:dyDescent="0.25">
      <c r="Q1124" s="21"/>
      <c r="R1124" s="49"/>
      <c r="S1124" s="21"/>
      <c r="T1124" s="21"/>
    </row>
    <row r="1125" spans="17:20" ht="15" customHeight="1" x14ac:dyDescent="0.25">
      <c r="Q1125" s="21"/>
      <c r="R1125" s="49"/>
      <c r="S1125" s="21"/>
      <c r="T1125" s="21"/>
    </row>
    <row r="1126" spans="17:20" ht="15" customHeight="1" x14ac:dyDescent="0.25">
      <c r="Q1126" s="21"/>
      <c r="R1126" s="49"/>
      <c r="S1126" s="21"/>
      <c r="T1126" s="21"/>
    </row>
    <row r="1127" spans="17:20" ht="15" customHeight="1" x14ac:dyDescent="0.25">
      <c r="Q1127" s="21"/>
      <c r="R1127" s="49"/>
      <c r="S1127" s="21"/>
      <c r="T1127" s="21"/>
    </row>
    <row r="1128" spans="17:20" ht="15" customHeight="1" x14ac:dyDescent="0.25">
      <c r="Q1128" s="21"/>
      <c r="R1128" s="49"/>
      <c r="S1128" s="21"/>
      <c r="T1128" s="21"/>
    </row>
    <row r="1129" spans="17:20" ht="15" customHeight="1" x14ac:dyDescent="0.25">
      <c r="Q1129" s="21"/>
      <c r="R1129" s="49"/>
      <c r="S1129" s="21"/>
      <c r="T1129" s="21"/>
    </row>
    <row r="1130" spans="17:20" ht="15" customHeight="1" x14ac:dyDescent="0.25">
      <c r="Q1130" s="21"/>
      <c r="R1130" s="49"/>
      <c r="S1130" s="21"/>
      <c r="T1130" s="21"/>
    </row>
    <row r="1131" spans="17:20" ht="15" customHeight="1" x14ac:dyDescent="0.25">
      <c r="Q1131" s="21"/>
      <c r="R1131" s="49"/>
      <c r="S1131" s="21"/>
      <c r="T1131" s="21"/>
    </row>
    <row r="1132" spans="17:20" ht="15" customHeight="1" x14ac:dyDescent="0.25">
      <c r="Q1132" s="21"/>
      <c r="R1132" s="49"/>
      <c r="S1132" s="21"/>
      <c r="T1132" s="21"/>
    </row>
    <row r="1133" spans="17:20" ht="15" customHeight="1" x14ac:dyDescent="0.25">
      <c r="Q1133" s="21"/>
      <c r="R1133" s="49"/>
      <c r="S1133" s="21"/>
      <c r="T1133" s="21"/>
    </row>
    <row r="1134" spans="17:20" ht="15" customHeight="1" x14ac:dyDescent="0.25">
      <c r="Q1134" s="21"/>
      <c r="R1134" s="49"/>
      <c r="S1134" s="21"/>
      <c r="T1134" s="21"/>
    </row>
    <row r="1135" spans="17:20" ht="15" customHeight="1" x14ac:dyDescent="0.25">
      <c r="Q1135" s="21"/>
      <c r="R1135" s="49"/>
      <c r="S1135" s="21"/>
      <c r="T1135" s="21"/>
    </row>
    <row r="1136" spans="17:20" ht="15" customHeight="1" x14ac:dyDescent="0.25">
      <c r="Q1136" s="21"/>
      <c r="R1136" s="49"/>
      <c r="S1136" s="21"/>
      <c r="T1136" s="21"/>
    </row>
    <row r="1137" spans="17:20" ht="15" customHeight="1" x14ac:dyDescent="0.25">
      <c r="Q1137" s="21"/>
      <c r="R1137" s="49"/>
      <c r="S1137" s="21"/>
      <c r="T1137" s="21"/>
    </row>
    <row r="1138" spans="17:20" ht="15" customHeight="1" x14ac:dyDescent="0.25">
      <c r="Q1138" s="21"/>
      <c r="R1138" s="49"/>
      <c r="S1138" s="21"/>
      <c r="T1138" s="21"/>
    </row>
    <row r="1139" spans="17:20" ht="15" customHeight="1" x14ac:dyDescent="0.25">
      <c r="Q1139" s="21"/>
      <c r="R1139" s="49"/>
      <c r="S1139" s="21"/>
      <c r="T1139" s="21"/>
    </row>
    <row r="1140" spans="17:20" ht="15" customHeight="1" x14ac:dyDescent="0.25">
      <c r="Q1140" s="21"/>
      <c r="R1140" s="49"/>
      <c r="S1140" s="21"/>
      <c r="T1140" s="21"/>
    </row>
    <row r="1141" spans="17:20" ht="15" customHeight="1" x14ac:dyDescent="0.25">
      <c r="Q1141" s="21"/>
      <c r="R1141" s="49"/>
      <c r="S1141" s="21"/>
      <c r="T1141" s="21"/>
    </row>
    <row r="1142" spans="17:20" ht="15" customHeight="1" x14ac:dyDescent="0.25">
      <c r="Q1142" s="21"/>
      <c r="R1142" s="49"/>
      <c r="S1142" s="21"/>
      <c r="T1142" s="21"/>
    </row>
    <row r="1143" spans="17:20" ht="15" customHeight="1" x14ac:dyDescent="0.25">
      <c r="Q1143" s="21"/>
      <c r="R1143" s="49"/>
      <c r="S1143" s="21"/>
      <c r="T1143" s="21"/>
    </row>
    <row r="1144" spans="17:20" ht="15" customHeight="1" x14ac:dyDescent="0.25">
      <c r="Q1144" s="21"/>
      <c r="R1144" s="49"/>
      <c r="S1144" s="21"/>
      <c r="T1144" s="21"/>
    </row>
    <row r="1145" spans="17:20" ht="15" customHeight="1" x14ac:dyDescent="0.25">
      <c r="Q1145" s="21"/>
      <c r="R1145" s="49"/>
      <c r="S1145" s="21"/>
      <c r="T1145" s="21"/>
    </row>
    <row r="1146" spans="17:20" ht="15" customHeight="1" x14ac:dyDescent="0.25">
      <c r="Q1146" s="21"/>
      <c r="R1146" s="49"/>
      <c r="S1146" s="21"/>
      <c r="T1146" s="21"/>
    </row>
    <row r="1147" spans="17:20" ht="15" customHeight="1" x14ac:dyDescent="0.25">
      <c r="Q1147" s="21"/>
      <c r="R1147" s="49"/>
      <c r="S1147" s="21"/>
      <c r="T1147" s="21"/>
    </row>
    <row r="1148" spans="17:20" ht="15" customHeight="1" x14ac:dyDescent="0.25">
      <c r="Q1148" s="21"/>
      <c r="R1148" s="49"/>
      <c r="S1148" s="21"/>
      <c r="T1148" s="21"/>
    </row>
    <row r="1149" spans="17:20" ht="15" customHeight="1" x14ac:dyDescent="0.25">
      <c r="Q1149" s="21"/>
      <c r="R1149" s="49"/>
      <c r="S1149" s="21"/>
      <c r="T1149" s="21"/>
    </row>
    <row r="1150" spans="17:20" ht="15" customHeight="1" x14ac:dyDescent="0.25">
      <c r="Q1150" s="21"/>
      <c r="R1150" s="49"/>
      <c r="S1150" s="21"/>
      <c r="T1150" s="21"/>
    </row>
    <row r="1151" spans="17:20" ht="15" customHeight="1" x14ac:dyDescent="0.25">
      <c r="Q1151" s="21"/>
      <c r="R1151" s="49"/>
      <c r="S1151" s="21"/>
      <c r="T1151" s="21"/>
    </row>
    <row r="1152" spans="17:20" ht="15" customHeight="1" x14ac:dyDescent="0.25">
      <c r="Q1152" s="21"/>
      <c r="R1152" s="49"/>
      <c r="S1152" s="21"/>
      <c r="T1152" s="21"/>
    </row>
    <row r="1153" spans="17:20" ht="15" customHeight="1" x14ac:dyDescent="0.25">
      <c r="Q1153" s="21"/>
      <c r="R1153" s="49"/>
      <c r="S1153" s="21"/>
      <c r="T1153" s="21"/>
    </row>
    <row r="1154" spans="17:20" ht="15" customHeight="1" x14ac:dyDescent="0.25">
      <c r="Q1154" s="21"/>
      <c r="R1154" s="49"/>
      <c r="S1154" s="21"/>
      <c r="T1154" s="21"/>
    </row>
    <row r="1155" spans="17:20" ht="15" customHeight="1" x14ac:dyDescent="0.25">
      <c r="Q1155" s="21"/>
      <c r="R1155" s="49"/>
      <c r="S1155" s="21"/>
      <c r="T1155" s="21"/>
    </row>
    <row r="1156" spans="17:20" ht="15" customHeight="1" x14ac:dyDescent="0.25">
      <c r="Q1156" s="21"/>
      <c r="R1156" s="49"/>
      <c r="S1156" s="21"/>
      <c r="T1156" s="21"/>
    </row>
    <row r="1157" spans="17:20" ht="15" customHeight="1" x14ac:dyDescent="0.25">
      <c r="Q1157" s="21"/>
      <c r="R1157" s="49"/>
      <c r="S1157" s="21"/>
      <c r="T1157" s="21"/>
    </row>
    <row r="1158" spans="17:20" ht="15" customHeight="1" x14ac:dyDescent="0.25">
      <c r="Q1158" s="21"/>
      <c r="R1158" s="49"/>
      <c r="S1158" s="21"/>
      <c r="T1158" s="21"/>
    </row>
    <row r="1159" spans="17:20" ht="15" customHeight="1" x14ac:dyDescent="0.25">
      <c r="Q1159" s="21"/>
      <c r="R1159" s="49"/>
      <c r="S1159" s="21"/>
      <c r="T1159" s="21"/>
    </row>
    <row r="1160" spans="17:20" ht="15" customHeight="1" x14ac:dyDescent="0.25">
      <c r="Q1160" s="21"/>
      <c r="R1160" s="49"/>
      <c r="S1160" s="21"/>
      <c r="T1160" s="21"/>
    </row>
    <row r="1161" spans="17:20" ht="15" customHeight="1" x14ac:dyDescent="0.25">
      <c r="Q1161" s="21"/>
      <c r="R1161" s="49"/>
      <c r="S1161" s="21"/>
      <c r="T1161" s="21"/>
    </row>
    <row r="1162" spans="17:20" ht="15" customHeight="1" x14ac:dyDescent="0.25">
      <c r="Q1162" s="21"/>
      <c r="R1162" s="49"/>
      <c r="S1162" s="21"/>
      <c r="T1162" s="21"/>
    </row>
    <row r="1163" spans="17:20" ht="15" customHeight="1" x14ac:dyDescent="0.25">
      <c r="Q1163" s="21"/>
      <c r="R1163" s="49"/>
      <c r="S1163" s="21"/>
      <c r="T1163" s="21"/>
    </row>
    <row r="1164" spans="17:20" ht="15" customHeight="1" x14ac:dyDescent="0.25">
      <c r="Q1164" s="21"/>
      <c r="R1164" s="49"/>
      <c r="S1164" s="21"/>
      <c r="T1164" s="21"/>
    </row>
    <row r="1165" spans="17:20" ht="15" customHeight="1" x14ac:dyDescent="0.25">
      <c r="Q1165" s="21"/>
      <c r="R1165" s="49"/>
      <c r="S1165" s="21"/>
      <c r="T1165" s="21"/>
    </row>
    <row r="1166" spans="17:20" ht="15" customHeight="1" x14ac:dyDescent="0.25">
      <c r="Q1166" s="21"/>
      <c r="R1166" s="49"/>
      <c r="S1166" s="21"/>
      <c r="T1166" s="21"/>
    </row>
    <row r="1167" spans="17:20" ht="15" customHeight="1" x14ac:dyDescent="0.25">
      <c r="Q1167" s="21"/>
      <c r="R1167" s="49"/>
      <c r="S1167" s="21"/>
      <c r="T1167" s="21"/>
    </row>
    <row r="1168" spans="17:20" ht="15" customHeight="1" x14ac:dyDescent="0.25">
      <c r="Q1168" s="21"/>
      <c r="R1168" s="49"/>
      <c r="S1168" s="21"/>
      <c r="T1168" s="21"/>
    </row>
    <row r="1169" spans="17:20" ht="15" customHeight="1" x14ac:dyDescent="0.25">
      <c r="Q1169" s="21"/>
      <c r="R1169" s="49"/>
      <c r="S1169" s="21"/>
      <c r="T1169" s="21"/>
    </row>
    <row r="1170" spans="17:20" ht="15" customHeight="1" x14ac:dyDescent="0.25">
      <c r="Q1170" s="21"/>
      <c r="R1170" s="49"/>
      <c r="S1170" s="21"/>
      <c r="T1170" s="21"/>
    </row>
    <row r="1171" spans="17:20" ht="15" customHeight="1" x14ac:dyDescent="0.25">
      <c r="Q1171" s="21"/>
      <c r="R1171" s="49"/>
      <c r="S1171" s="21"/>
      <c r="T1171" s="21"/>
    </row>
    <row r="1172" spans="17:20" ht="15" customHeight="1" x14ac:dyDescent="0.25">
      <c r="Q1172" s="21"/>
      <c r="R1172" s="49"/>
      <c r="S1172" s="21"/>
      <c r="T1172" s="21"/>
    </row>
    <row r="1173" spans="17:20" ht="15" customHeight="1" x14ac:dyDescent="0.25">
      <c r="Q1173" s="21"/>
      <c r="R1173" s="49"/>
      <c r="S1173" s="21"/>
      <c r="T1173" s="21"/>
    </row>
    <row r="1174" spans="17:20" ht="15" customHeight="1" x14ac:dyDescent="0.25">
      <c r="Q1174" s="21"/>
      <c r="R1174" s="49"/>
      <c r="S1174" s="21"/>
      <c r="T1174" s="21"/>
    </row>
    <row r="1175" spans="17:20" ht="15" customHeight="1" x14ac:dyDescent="0.25">
      <c r="Q1175" s="21"/>
      <c r="R1175" s="49"/>
      <c r="S1175" s="21"/>
      <c r="T1175" s="21"/>
    </row>
    <row r="1176" spans="17:20" ht="15" customHeight="1" x14ac:dyDescent="0.25">
      <c r="Q1176" s="21"/>
      <c r="R1176" s="49"/>
      <c r="S1176" s="21"/>
      <c r="T1176" s="21"/>
    </row>
    <row r="1177" spans="17:20" ht="15" customHeight="1" x14ac:dyDescent="0.25">
      <c r="Q1177" s="21"/>
      <c r="R1177" s="49"/>
      <c r="S1177" s="21"/>
      <c r="T1177" s="21"/>
    </row>
    <row r="1178" spans="17:20" ht="15" customHeight="1" x14ac:dyDescent="0.25">
      <c r="Q1178" s="21"/>
      <c r="R1178" s="49"/>
      <c r="S1178" s="21"/>
      <c r="T1178" s="21"/>
    </row>
    <row r="1179" spans="17:20" ht="15" customHeight="1" x14ac:dyDescent="0.25">
      <c r="Q1179" s="21"/>
      <c r="R1179" s="49"/>
      <c r="S1179" s="21"/>
      <c r="T1179" s="21"/>
    </row>
    <row r="1180" spans="17:20" ht="15" customHeight="1" x14ac:dyDescent="0.25">
      <c r="Q1180" s="21"/>
      <c r="R1180" s="49"/>
      <c r="S1180" s="21"/>
      <c r="T1180" s="21"/>
    </row>
    <row r="1181" spans="17:20" ht="15" customHeight="1" x14ac:dyDescent="0.25">
      <c r="Q1181" s="21"/>
      <c r="R1181" s="49"/>
      <c r="S1181" s="21"/>
      <c r="T1181" s="21"/>
    </row>
    <row r="1182" spans="17:20" ht="15" customHeight="1" x14ac:dyDescent="0.25">
      <c r="Q1182" s="21"/>
      <c r="R1182" s="49"/>
      <c r="S1182" s="21"/>
      <c r="T1182" s="21"/>
    </row>
    <row r="1183" spans="17:20" ht="15" customHeight="1" x14ac:dyDescent="0.25">
      <c r="Q1183" s="21"/>
      <c r="R1183" s="49"/>
      <c r="S1183" s="21"/>
      <c r="T1183" s="21"/>
    </row>
    <row r="1184" spans="17:20" ht="15" customHeight="1" x14ac:dyDescent="0.25">
      <c r="Q1184" s="21"/>
      <c r="R1184" s="49"/>
      <c r="S1184" s="21"/>
      <c r="T1184" s="21"/>
    </row>
    <row r="1185" spans="17:20" ht="15" customHeight="1" x14ac:dyDescent="0.25">
      <c r="Q1185" s="21"/>
      <c r="R1185" s="49"/>
      <c r="S1185" s="21"/>
      <c r="T1185" s="21"/>
    </row>
    <row r="1186" spans="17:20" ht="15" customHeight="1" x14ac:dyDescent="0.25">
      <c r="Q1186" s="21"/>
      <c r="R1186" s="49"/>
      <c r="S1186" s="21"/>
      <c r="T1186" s="21"/>
    </row>
    <row r="1187" spans="17:20" ht="15" customHeight="1" x14ac:dyDescent="0.25">
      <c r="Q1187" s="21"/>
      <c r="R1187" s="49"/>
      <c r="S1187" s="21"/>
      <c r="T1187" s="21"/>
    </row>
    <row r="1188" spans="17:20" ht="15" customHeight="1" x14ac:dyDescent="0.25">
      <c r="Q1188" s="21"/>
      <c r="R1188" s="49"/>
      <c r="S1188" s="21"/>
      <c r="T1188" s="21"/>
    </row>
    <row r="1189" spans="17:20" ht="15" customHeight="1" x14ac:dyDescent="0.25">
      <c r="Q1189" s="21"/>
      <c r="R1189" s="49"/>
      <c r="S1189" s="21"/>
      <c r="T1189" s="21"/>
    </row>
    <row r="1190" spans="17:20" ht="15" customHeight="1" x14ac:dyDescent="0.25">
      <c r="Q1190" s="21"/>
      <c r="R1190" s="49"/>
      <c r="S1190" s="21"/>
      <c r="T1190" s="21"/>
    </row>
    <row r="1191" spans="17:20" ht="15" customHeight="1" x14ac:dyDescent="0.25">
      <c r="Q1191" s="21"/>
      <c r="R1191" s="49"/>
      <c r="S1191" s="21"/>
      <c r="T1191" s="21"/>
    </row>
    <row r="1192" spans="17:20" ht="15" customHeight="1" x14ac:dyDescent="0.25">
      <c r="Q1192" s="21"/>
      <c r="R1192" s="49"/>
      <c r="S1192" s="21"/>
      <c r="T1192" s="21"/>
    </row>
    <row r="1193" spans="17:20" ht="15" customHeight="1" x14ac:dyDescent="0.25">
      <c r="Q1193" s="21"/>
      <c r="R1193" s="49"/>
      <c r="S1193" s="21"/>
      <c r="T1193" s="21"/>
    </row>
    <row r="1194" spans="17:20" ht="15" customHeight="1" x14ac:dyDescent="0.25">
      <c r="Q1194" s="21"/>
      <c r="R1194" s="49"/>
      <c r="S1194" s="21"/>
      <c r="T1194" s="21"/>
    </row>
    <row r="1195" spans="17:20" ht="15" customHeight="1" x14ac:dyDescent="0.25">
      <c r="Q1195" s="21"/>
      <c r="R1195" s="49"/>
      <c r="S1195" s="21"/>
      <c r="T1195" s="21"/>
    </row>
    <row r="1196" spans="17:20" ht="15" customHeight="1" x14ac:dyDescent="0.25">
      <c r="Q1196" s="21"/>
      <c r="R1196" s="49"/>
      <c r="S1196" s="21"/>
      <c r="T1196" s="21"/>
    </row>
    <row r="1197" spans="17:20" ht="15" customHeight="1" x14ac:dyDescent="0.25">
      <c r="Q1197" s="21"/>
      <c r="R1197" s="49"/>
      <c r="S1197" s="21"/>
      <c r="T1197" s="21"/>
    </row>
    <row r="1198" spans="17:20" ht="15" customHeight="1" x14ac:dyDescent="0.25">
      <c r="Q1198" s="21"/>
      <c r="R1198" s="49"/>
      <c r="S1198" s="21"/>
      <c r="T1198" s="21"/>
    </row>
    <row r="1199" spans="17:20" ht="15" customHeight="1" x14ac:dyDescent="0.25">
      <c r="Q1199" s="21"/>
      <c r="R1199" s="49"/>
      <c r="S1199" s="21"/>
      <c r="T1199" s="21"/>
    </row>
    <row r="1200" spans="17:20" ht="15" customHeight="1" x14ac:dyDescent="0.25">
      <c r="Q1200" s="21"/>
      <c r="R1200" s="49"/>
      <c r="S1200" s="21"/>
      <c r="T1200" s="21"/>
    </row>
    <row r="1201" spans="17:20" ht="15" customHeight="1" x14ac:dyDescent="0.25">
      <c r="Q1201" s="21"/>
      <c r="R1201" s="49"/>
      <c r="S1201" s="21"/>
      <c r="T1201" s="21"/>
    </row>
    <row r="1202" spans="17:20" ht="15" customHeight="1" x14ac:dyDescent="0.25">
      <c r="Q1202" s="21"/>
      <c r="R1202" s="49"/>
      <c r="S1202" s="21"/>
      <c r="T1202" s="21"/>
    </row>
    <row r="1203" spans="17:20" ht="15" customHeight="1" x14ac:dyDescent="0.25">
      <c r="Q1203" s="21"/>
      <c r="R1203" s="49"/>
      <c r="S1203" s="21"/>
      <c r="T1203" s="21"/>
    </row>
    <row r="1204" spans="17:20" ht="15" customHeight="1" x14ac:dyDescent="0.25">
      <c r="Q1204" s="21"/>
      <c r="R1204" s="49"/>
      <c r="S1204" s="21"/>
      <c r="T1204" s="21"/>
    </row>
    <row r="1205" spans="17:20" ht="15" customHeight="1" x14ac:dyDescent="0.25">
      <c r="Q1205" s="21"/>
      <c r="R1205" s="49"/>
      <c r="S1205" s="21"/>
      <c r="T1205" s="21"/>
    </row>
    <row r="1206" spans="17:20" ht="15" customHeight="1" x14ac:dyDescent="0.25">
      <c r="Q1206" s="21"/>
      <c r="R1206" s="49"/>
      <c r="S1206" s="21"/>
      <c r="T1206" s="21"/>
    </row>
    <row r="1207" spans="17:20" ht="15" customHeight="1" x14ac:dyDescent="0.25">
      <c r="Q1207" s="21"/>
      <c r="R1207" s="49"/>
      <c r="S1207" s="21"/>
      <c r="T1207" s="21"/>
    </row>
    <row r="1208" spans="17:20" ht="15" customHeight="1" x14ac:dyDescent="0.25">
      <c r="Q1208" s="21"/>
      <c r="R1208" s="49"/>
      <c r="S1208" s="21"/>
      <c r="T1208" s="21"/>
    </row>
    <row r="1209" spans="17:20" ht="15" customHeight="1" x14ac:dyDescent="0.25">
      <c r="Q1209" s="21"/>
      <c r="R1209" s="49"/>
      <c r="S1209" s="21"/>
      <c r="T1209" s="21"/>
    </row>
    <row r="1210" spans="17:20" ht="15" customHeight="1" x14ac:dyDescent="0.25">
      <c r="Q1210" s="21"/>
      <c r="R1210" s="49"/>
      <c r="S1210" s="21"/>
      <c r="T1210" s="21"/>
    </row>
    <row r="1211" spans="17:20" ht="15" customHeight="1" x14ac:dyDescent="0.25">
      <c r="Q1211" s="21"/>
      <c r="R1211" s="49"/>
      <c r="S1211" s="21"/>
      <c r="T1211" s="21"/>
    </row>
    <row r="1212" spans="17:20" ht="15" customHeight="1" x14ac:dyDescent="0.25">
      <c r="Q1212" s="21"/>
      <c r="R1212" s="49"/>
      <c r="S1212" s="21"/>
      <c r="T1212" s="21"/>
    </row>
    <row r="1213" spans="17:20" ht="15" customHeight="1" x14ac:dyDescent="0.25">
      <c r="Q1213" s="21"/>
      <c r="R1213" s="49"/>
      <c r="S1213" s="21"/>
      <c r="T1213" s="21"/>
    </row>
    <row r="1214" spans="17:20" ht="15" customHeight="1" x14ac:dyDescent="0.25">
      <c r="Q1214" s="21"/>
      <c r="R1214" s="49"/>
      <c r="S1214" s="21"/>
      <c r="T1214" s="21"/>
    </row>
    <row r="1215" spans="17:20" ht="15" customHeight="1" x14ac:dyDescent="0.25">
      <c r="Q1215" s="21"/>
      <c r="R1215" s="49"/>
      <c r="S1215" s="21"/>
      <c r="T1215" s="21"/>
    </row>
    <row r="1216" spans="17:20" ht="15" customHeight="1" x14ac:dyDescent="0.25">
      <c r="Q1216" s="21"/>
      <c r="R1216" s="49"/>
      <c r="S1216" s="21"/>
      <c r="T1216" s="21"/>
    </row>
    <row r="1217" spans="17:20" ht="15" customHeight="1" x14ac:dyDescent="0.25">
      <c r="Q1217" s="21"/>
      <c r="R1217" s="49"/>
      <c r="S1217" s="21"/>
      <c r="T1217" s="21"/>
    </row>
    <row r="1218" spans="17:20" ht="15" customHeight="1" x14ac:dyDescent="0.25">
      <c r="Q1218" s="21"/>
      <c r="R1218" s="49"/>
      <c r="S1218" s="21"/>
      <c r="T1218" s="21"/>
    </row>
    <row r="1219" spans="17:20" ht="15" customHeight="1" x14ac:dyDescent="0.25">
      <c r="Q1219" s="21"/>
      <c r="R1219" s="49"/>
      <c r="S1219" s="21"/>
      <c r="T1219" s="21"/>
    </row>
    <row r="1220" spans="17:20" ht="15" customHeight="1" x14ac:dyDescent="0.25">
      <c r="Q1220" s="21"/>
      <c r="R1220" s="49"/>
      <c r="S1220" s="21"/>
      <c r="T1220" s="21"/>
    </row>
    <row r="1221" spans="17:20" ht="15" customHeight="1" x14ac:dyDescent="0.25">
      <c r="Q1221" s="21"/>
      <c r="R1221" s="49"/>
      <c r="S1221" s="21"/>
      <c r="T1221" s="21"/>
    </row>
    <row r="1222" spans="17:20" ht="15" customHeight="1" x14ac:dyDescent="0.25">
      <c r="Q1222" s="21"/>
      <c r="R1222" s="49"/>
      <c r="S1222" s="21"/>
      <c r="T1222" s="21"/>
    </row>
    <row r="1223" spans="17:20" ht="15" customHeight="1" x14ac:dyDescent="0.25">
      <c r="Q1223" s="21"/>
      <c r="R1223" s="49"/>
      <c r="S1223" s="21"/>
      <c r="T1223" s="21"/>
    </row>
    <row r="1224" spans="17:20" ht="15" customHeight="1" x14ac:dyDescent="0.25">
      <c r="Q1224" s="21"/>
      <c r="R1224" s="49"/>
      <c r="S1224" s="21"/>
      <c r="T1224" s="21"/>
    </row>
    <row r="1225" spans="17:20" ht="15" customHeight="1" x14ac:dyDescent="0.25">
      <c r="Q1225" s="21"/>
      <c r="R1225" s="49"/>
      <c r="S1225" s="21"/>
      <c r="T1225" s="21"/>
    </row>
    <row r="1226" spans="17:20" ht="15" customHeight="1" x14ac:dyDescent="0.25">
      <c r="Q1226" s="21"/>
      <c r="R1226" s="49"/>
      <c r="S1226" s="21"/>
      <c r="T1226" s="21"/>
    </row>
    <row r="1227" spans="17:20" ht="15" customHeight="1" x14ac:dyDescent="0.25">
      <c r="Q1227" s="21"/>
      <c r="R1227" s="49"/>
      <c r="S1227" s="21"/>
      <c r="T1227" s="21"/>
    </row>
    <row r="1228" spans="17:20" ht="15" customHeight="1" x14ac:dyDescent="0.25">
      <c r="Q1228" s="21"/>
      <c r="R1228" s="49"/>
      <c r="S1228" s="21"/>
      <c r="T1228" s="21"/>
    </row>
    <row r="1229" spans="17:20" ht="15" customHeight="1" x14ac:dyDescent="0.25">
      <c r="Q1229" s="21"/>
      <c r="R1229" s="49"/>
      <c r="S1229" s="21"/>
      <c r="T1229" s="21"/>
    </row>
    <row r="1230" spans="17:20" ht="15" customHeight="1" x14ac:dyDescent="0.25">
      <c r="Q1230" s="21"/>
      <c r="R1230" s="49"/>
      <c r="S1230" s="21"/>
      <c r="T1230" s="21"/>
    </row>
    <row r="1231" spans="17:20" ht="15" customHeight="1" x14ac:dyDescent="0.25">
      <c r="Q1231" s="21"/>
      <c r="R1231" s="49"/>
      <c r="S1231" s="21"/>
      <c r="T1231" s="21"/>
    </row>
    <row r="1232" spans="17:20" ht="15" customHeight="1" x14ac:dyDescent="0.25">
      <c r="Q1232" s="21"/>
      <c r="R1232" s="49"/>
      <c r="S1232" s="21"/>
      <c r="T1232" s="21"/>
    </row>
    <row r="1233" spans="17:20" ht="15" customHeight="1" x14ac:dyDescent="0.25">
      <c r="Q1233" s="21"/>
      <c r="R1233" s="49"/>
      <c r="S1233" s="21"/>
      <c r="T1233" s="21"/>
    </row>
    <row r="1234" spans="17:20" ht="15" customHeight="1" x14ac:dyDescent="0.25">
      <c r="Q1234" s="21"/>
      <c r="R1234" s="49"/>
      <c r="S1234" s="21"/>
      <c r="T1234" s="21"/>
    </row>
    <row r="1235" spans="17:20" ht="15" customHeight="1" x14ac:dyDescent="0.25">
      <c r="Q1235" s="21"/>
      <c r="R1235" s="49"/>
      <c r="S1235" s="21"/>
      <c r="T1235" s="21"/>
    </row>
    <row r="1236" spans="17:20" ht="15" customHeight="1" x14ac:dyDescent="0.25">
      <c r="Q1236" s="21"/>
      <c r="R1236" s="49"/>
      <c r="S1236" s="21"/>
      <c r="T1236" s="21"/>
    </row>
    <row r="1237" spans="17:20" ht="15" customHeight="1" x14ac:dyDescent="0.25">
      <c r="Q1237" s="21"/>
      <c r="R1237" s="49"/>
      <c r="S1237" s="21"/>
      <c r="T1237" s="21"/>
    </row>
    <row r="1238" spans="17:20" ht="15" customHeight="1" x14ac:dyDescent="0.25">
      <c r="Q1238" s="21"/>
      <c r="R1238" s="49"/>
      <c r="S1238" s="21"/>
      <c r="T1238" s="21"/>
    </row>
    <row r="1239" spans="17:20" ht="15" customHeight="1" x14ac:dyDescent="0.25">
      <c r="Q1239" s="21"/>
      <c r="R1239" s="49"/>
      <c r="S1239" s="21"/>
      <c r="T1239" s="21"/>
    </row>
    <row r="1240" spans="17:20" ht="15" customHeight="1" x14ac:dyDescent="0.25">
      <c r="Q1240" s="21"/>
      <c r="R1240" s="49"/>
      <c r="S1240" s="21"/>
      <c r="T1240" s="21"/>
    </row>
    <row r="1241" spans="17:20" ht="15" customHeight="1" x14ac:dyDescent="0.25">
      <c r="Q1241" s="21"/>
      <c r="R1241" s="49"/>
      <c r="S1241" s="21"/>
      <c r="T1241" s="21"/>
    </row>
    <row r="1242" spans="17:20" ht="15" customHeight="1" x14ac:dyDescent="0.25">
      <c r="Q1242" s="21"/>
      <c r="R1242" s="49"/>
      <c r="S1242" s="21"/>
      <c r="T1242" s="21"/>
    </row>
    <row r="1243" spans="17:20" ht="15" customHeight="1" x14ac:dyDescent="0.25">
      <c r="Q1243" s="21"/>
      <c r="R1243" s="49"/>
      <c r="S1243" s="21"/>
      <c r="T1243" s="21"/>
    </row>
    <row r="1244" spans="17:20" ht="15" customHeight="1" x14ac:dyDescent="0.25">
      <c r="Q1244" s="21"/>
      <c r="R1244" s="49"/>
      <c r="S1244" s="21"/>
      <c r="T1244" s="21"/>
    </row>
    <row r="1245" spans="17:20" ht="15" customHeight="1" x14ac:dyDescent="0.25">
      <c r="Q1245" s="21"/>
      <c r="R1245" s="49"/>
      <c r="S1245" s="21"/>
      <c r="T1245" s="21"/>
    </row>
    <row r="1246" spans="17:20" ht="15" customHeight="1" x14ac:dyDescent="0.25">
      <c r="Q1246" s="21"/>
      <c r="R1246" s="49"/>
      <c r="S1246" s="21"/>
      <c r="T1246" s="21"/>
    </row>
    <row r="1247" spans="17:20" ht="15" customHeight="1" x14ac:dyDescent="0.25">
      <c r="Q1247" s="21"/>
      <c r="R1247" s="49"/>
      <c r="S1247" s="21"/>
      <c r="T1247" s="21"/>
    </row>
    <row r="1248" spans="17:20" ht="15" customHeight="1" x14ac:dyDescent="0.25">
      <c r="Q1248" s="21"/>
      <c r="R1248" s="49"/>
      <c r="S1248" s="21"/>
      <c r="T1248" s="21"/>
    </row>
    <row r="1249" spans="17:20" ht="15" customHeight="1" x14ac:dyDescent="0.25">
      <c r="Q1249" s="21"/>
      <c r="R1249" s="49"/>
      <c r="S1249" s="21"/>
      <c r="T1249" s="21"/>
    </row>
    <row r="1250" spans="17:20" ht="15" customHeight="1" x14ac:dyDescent="0.25">
      <c r="Q1250" s="21"/>
      <c r="R1250" s="49"/>
      <c r="S1250" s="21"/>
      <c r="T1250" s="21"/>
    </row>
    <row r="1251" spans="17:20" ht="15" customHeight="1" x14ac:dyDescent="0.25">
      <c r="Q1251" s="21"/>
      <c r="R1251" s="49"/>
      <c r="S1251" s="21"/>
      <c r="T1251" s="21"/>
    </row>
    <row r="1252" spans="17:20" ht="15" customHeight="1" x14ac:dyDescent="0.25">
      <c r="Q1252" s="21"/>
      <c r="R1252" s="49"/>
      <c r="S1252" s="21"/>
      <c r="T1252" s="21"/>
    </row>
    <row r="1253" spans="17:20" ht="15" customHeight="1" x14ac:dyDescent="0.25">
      <c r="Q1253" s="21"/>
      <c r="R1253" s="49"/>
      <c r="S1253" s="21"/>
      <c r="T1253" s="21"/>
    </row>
    <row r="1254" spans="17:20" ht="15" customHeight="1" x14ac:dyDescent="0.25">
      <c r="Q1254" s="21"/>
      <c r="R1254" s="49"/>
      <c r="S1254" s="21"/>
      <c r="T1254" s="21"/>
    </row>
    <row r="1255" spans="17:20" ht="15" customHeight="1" x14ac:dyDescent="0.25">
      <c r="Q1255" s="21"/>
      <c r="R1255" s="49"/>
      <c r="S1255" s="21"/>
      <c r="T1255" s="21"/>
    </row>
    <row r="1256" spans="17:20" ht="15" customHeight="1" x14ac:dyDescent="0.25">
      <c r="Q1256" s="21"/>
      <c r="R1256" s="49"/>
      <c r="S1256" s="21"/>
      <c r="T1256" s="21"/>
    </row>
    <row r="1257" spans="17:20" ht="15" customHeight="1" x14ac:dyDescent="0.25">
      <c r="Q1257" s="21"/>
      <c r="R1257" s="49"/>
      <c r="S1257" s="21"/>
      <c r="T1257" s="21"/>
    </row>
    <row r="1258" spans="17:20" ht="15" customHeight="1" x14ac:dyDescent="0.25">
      <c r="Q1258" s="21"/>
      <c r="R1258" s="49"/>
      <c r="S1258" s="21"/>
      <c r="T1258" s="21"/>
    </row>
    <row r="1259" spans="17:20" ht="15" customHeight="1" x14ac:dyDescent="0.25">
      <c r="Q1259" s="21"/>
      <c r="R1259" s="49"/>
      <c r="S1259" s="21"/>
      <c r="T1259" s="21"/>
    </row>
    <row r="1260" spans="17:20" ht="15" customHeight="1" x14ac:dyDescent="0.25">
      <c r="Q1260" s="21"/>
      <c r="R1260" s="49"/>
      <c r="S1260" s="21"/>
      <c r="T1260" s="21"/>
    </row>
    <row r="1261" spans="17:20" ht="15" customHeight="1" x14ac:dyDescent="0.25">
      <c r="Q1261" s="21"/>
      <c r="R1261" s="49"/>
      <c r="S1261" s="21"/>
      <c r="T1261" s="21"/>
    </row>
    <row r="1262" spans="17:20" ht="15" customHeight="1" x14ac:dyDescent="0.25">
      <c r="Q1262" s="21"/>
      <c r="R1262" s="49"/>
      <c r="S1262" s="21"/>
      <c r="T1262" s="21"/>
    </row>
    <row r="1263" spans="17:20" ht="15" customHeight="1" x14ac:dyDescent="0.25">
      <c r="Q1263" s="21"/>
      <c r="R1263" s="49"/>
      <c r="S1263" s="21"/>
      <c r="T1263" s="21"/>
    </row>
    <row r="1264" spans="17:20" ht="15" customHeight="1" x14ac:dyDescent="0.25">
      <c r="Q1264" s="21"/>
      <c r="R1264" s="49"/>
      <c r="S1264" s="21"/>
      <c r="T1264" s="21"/>
    </row>
    <row r="1265" spans="17:20" ht="15" customHeight="1" x14ac:dyDescent="0.25">
      <c r="Q1265" s="21"/>
      <c r="R1265" s="49"/>
      <c r="S1265" s="21"/>
      <c r="T1265" s="21"/>
    </row>
    <row r="1266" spans="17:20" ht="15" customHeight="1" x14ac:dyDescent="0.25">
      <c r="Q1266" s="21"/>
      <c r="R1266" s="49"/>
      <c r="S1266" s="21"/>
      <c r="T1266" s="21"/>
    </row>
    <row r="1267" spans="17:20" ht="15" customHeight="1" x14ac:dyDescent="0.25">
      <c r="Q1267" s="21"/>
      <c r="R1267" s="49"/>
      <c r="S1267" s="21"/>
      <c r="T1267" s="21"/>
    </row>
    <row r="1268" spans="17:20" ht="15" customHeight="1" x14ac:dyDescent="0.25">
      <c r="Q1268" s="21"/>
      <c r="R1268" s="49"/>
      <c r="S1268" s="21"/>
      <c r="T1268" s="21"/>
    </row>
    <row r="1269" spans="17:20" ht="15" customHeight="1" x14ac:dyDescent="0.25">
      <c r="Q1269" s="21"/>
      <c r="R1269" s="49"/>
      <c r="S1269" s="21"/>
      <c r="T1269" s="21"/>
    </row>
    <row r="1270" spans="17:20" ht="15" customHeight="1" x14ac:dyDescent="0.25">
      <c r="Q1270" s="21"/>
      <c r="R1270" s="49"/>
      <c r="S1270" s="21"/>
      <c r="T1270" s="21"/>
    </row>
    <row r="1271" spans="17:20" ht="15" customHeight="1" x14ac:dyDescent="0.25">
      <c r="Q1271" s="21"/>
      <c r="R1271" s="49"/>
      <c r="S1271" s="21"/>
      <c r="T1271" s="21"/>
    </row>
    <row r="1272" spans="17:20" ht="15" customHeight="1" x14ac:dyDescent="0.25">
      <c r="Q1272" s="21"/>
      <c r="R1272" s="49"/>
      <c r="S1272" s="21"/>
      <c r="T1272" s="21"/>
    </row>
    <row r="1273" spans="17:20" ht="15" customHeight="1" x14ac:dyDescent="0.25">
      <c r="Q1273" s="21"/>
      <c r="R1273" s="49"/>
      <c r="S1273" s="21"/>
      <c r="T1273" s="21"/>
    </row>
    <row r="1274" spans="17:20" ht="15" customHeight="1" x14ac:dyDescent="0.25">
      <c r="Q1274" s="21"/>
      <c r="R1274" s="49"/>
      <c r="S1274" s="21"/>
      <c r="T1274" s="21"/>
    </row>
    <row r="1275" spans="17:20" ht="15" customHeight="1" x14ac:dyDescent="0.25">
      <c r="Q1275" s="21"/>
      <c r="R1275" s="49"/>
      <c r="S1275" s="21"/>
      <c r="T1275" s="21"/>
    </row>
    <row r="1276" spans="17:20" ht="15" customHeight="1" x14ac:dyDescent="0.25">
      <c r="Q1276" s="21"/>
      <c r="R1276" s="49"/>
      <c r="S1276" s="21"/>
      <c r="T1276" s="21"/>
    </row>
    <row r="1277" spans="17:20" ht="15" customHeight="1" x14ac:dyDescent="0.25">
      <c r="Q1277" s="21"/>
      <c r="R1277" s="49"/>
      <c r="S1277" s="21"/>
      <c r="T1277" s="21"/>
    </row>
    <row r="1278" spans="17:20" ht="15" customHeight="1" x14ac:dyDescent="0.25">
      <c r="Q1278" s="21"/>
      <c r="R1278" s="49"/>
      <c r="S1278" s="21"/>
      <c r="T1278" s="21"/>
    </row>
    <row r="1279" spans="17:20" ht="15" customHeight="1" x14ac:dyDescent="0.25">
      <c r="Q1279" s="21"/>
      <c r="R1279" s="49"/>
      <c r="S1279" s="21"/>
      <c r="T1279" s="21"/>
    </row>
    <row r="1280" spans="17:20" ht="15" customHeight="1" x14ac:dyDescent="0.25">
      <c r="Q1280" s="21"/>
      <c r="R1280" s="49"/>
      <c r="S1280" s="21"/>
      <c r="T1280" s="21"/>
    </row>
    <row r="1281" spans="17:20" ht="15" customHeight="1" x14ac:dyDescent="0.25">
      <c r="Q1281" s="21"/>
      <c r="R1281" s="49"/>
      <c r="S1281" s="21"/>
      <c r="T1281" s="21"/>
    </row>
    <row r="1282" spans="17:20" ht="15" customHeight="1" x14ac:dyDescent="0.25">
      <c r="Q1282" s="21"/>
      <c r="R1282" s="49"/>
      <c r="S1282" s="21"/>
      <c r="T1282" s="21"/>
    </row>
    <row r="1283" spans="17:20" ht="15" customHeight="1" x14ac:dyDescent="0.25">
      <c r="Q1283" s="21"/>
      <c r="R1283" s="49"/>
      <c r="S1283" s="21"/>
      <c r="T1283" s="21"/>
    </row>
    <row r="1284" spans="17:20" ht="15" customHeight="1" x14ac:dyDescent="0.25">
      <c r="Q1284" s="21"/>
      <c r="R1284" s="49"/>
      <c r="S1284" s="21"/>
      <c r="T1284" s="21"/>
    </row>
    <row r="1285" spans="17:20" ht="15" customHeight="1" x14ac:dyDescent="0.25">
      <c r="Q1285" s="21"/>
      <c r="R1285" s="49"/>
      <c r="S1285" s="21"/>
      <c r="T1285" s="21"/>
    </row>
    <row r="1286" spans="17:20" ht="15" customHeight="1" x14ac:dyDescent="0.25">
      <c r="Q1286" s="21"/>
      <c r="R1286" s="49"/>
      <c r="S1286" s="21"/>
      <c r="T1286" s="21"/>
    </row>
    <row r="1287" spans="17:20" ht="15" customHeight="1" x14ac:dyDescent="0.25">
      <c r="Q1287" s="21"/>
      <c r="R1287" s="49"/>
      <c r="S1287" s="21"/>
      <c r="T1287" s="21"/>
    </row>
    <row r="1288" spans="17:20" ht="15" customHeight="1" x14ac:dyDescent="0.25">
      <c r="Q1288" s="21"/>
      <c r="R1288" s="49"/>
      <c r="S1288" s="21"/>
      <c r="T1288" s="21"/>
    </row>
    <row r="1289" spans="17:20" ht="15" customHeight="1" x14ac:dyDescent="0.25">
      <c r="Q1289" s="21"/>
      <c r="R1289" s="49"/>
      <c r="S1289" s="21"/>
      <c r="T1289" s="21"/>
    </row>
    <row r="1290" spans="17:20" ht="15" customHeight="1" x14ac:dyDescent="0.25">
      <c r="Q1290" s="21"/>
      <c r="R1290" s="49"/>
      <c r="S1290" s="21"/>
      <c r="T1290" s="21"/>
    </row>
    <row r="1291" spans="17:20" ht="15" customHeight="1" x14ac:dyDescent="0.25">
      <c r="Q1291" s="21"/>
      <c r="R1291" s="49"/>
      <c r="S1291" s="21"/>
      <c r="T1291" s="21"/>
    </row>
    <row r="1292" spans="17:20" ht="15" customHeight="1" x14ac:dyDescent="0.25">
      <c r="Q1292" s="21"/>
      <c r="R1292" s="49"/>
      <c r="S1292" s="21"/>
      <c r="T1292" s="21"/>
    </row>
    <row r="1293" spans="17:20" ht="15" customHeight="1" x14ac:dyDescent="0.25">
      <c r="Q1293" s="21"/>
      <c r="R1293" s="49"/>
      <c r="S1293" s="21"/>
      <c r="T1293" s="21"/>
    </row>
    <row r="1294" spans="17:20" ht="15" customHeight="1" x14ac:dyDescent="0.25">
      <c r="Q1294" s="21"/>
      <c r="R1294" s="49"/>
      <c r="S1294" s="21"/>
      <c r="T1294" s="21"/>
    </row>
    <row r="1295" spans="17:20" ht="15" customHeight="1" x14ac:dyDescent="0.25">
      <c r="Q1295" s="21"/>
      <c r="R1295" s="49"/>
      <c r="S1295" s="21"/>
      <c r="T1295" s="21"/>
    </row>
    <row r="1296" spans="17:20" ht="15" customHeight="1" x14ac:dyDescent="0.25">
      <c r="Q1296" s="21"/>
      <c r="R1296" s="49"/>
      <c r="S1296" s="21"/>
      <c r="T1296" s="21"/>
    </row>
    <row r="1297" spans="17:20" ht="15" customHeight="1" x14ac:dyDescent="0.25">
      <c r="Q1297" s="21"/>
      <c r="R1297" s="49"/>
      <c r="S1297" s="21"/>
      <c r="T1297" s="21"/>
    </row>
    <row r="1298" spans="17:20" ht="15" customHeight="1" x14ac:dyDescent="0.25">
      <c r="Q1298" s="21"/>
      <c r="R1298" s="49"/>
      <c r="S1298" s="21"/>
      <c r="T1298" s="21"/>
    </row>
    <row r="1299" spans="17:20" ht="15" customHeight="1" x14ac:dyDescent="0.25">
      <c r="Q1299" s="21"/>
      <c r="R1299" s="49"/>
      <c r="S1299" s="21"/>
      <c r="T1299" s="21"/>
    </row>
    <row r="1300" spans="17:20" ht="15" customHeight="1" x14ac:dyDescent="0.25">
      <c r="Q1300" s="21"/>
      <c r="R1300" s="49"/>
      <c r="S1300" s="21"/>
      <c r="T1300" s="21"/>
    </row>
    <row r="1301" spans="17:20" ht="15" customHeight="1" x14ac:dyDescent="0.25">
      <c r="Q1301" s="21"/>
      <c r="R1301" s="49"/>
      <c r="S1301" s="21"/>
      <c r="T1301" s="21"/>
    </row>
    <row r="1302" spans="17:20" ht="15" customHeight="1" x14ac:dyDescent="0.25">
      <c r="Q1302" s="21"/>
      <c r="R1302" s="49"/>
      <c r="S1302" s="21"/>
      <c r="T1302" s="21"/>
    </row>
    <row r="1303" spans="17:20" ht="15" customHeight="1" x14ac:dyDescent="0.25">
      <c r="Q1303" s="21"/>
      <c r="R1303" s="49"/>
      <c r="S1303" s="21"/>
      <c r="T1303" s="21"/>
    </row>
    <row r="1304" spans="17:20" ht="15" customHeight="1" x14ac:dyDescent="0.25">
      <c r="Q1304" s="21"/>
      <c r="R1304" s="49"/>
      <c r="S1304" s="21"/>
      <c r="T1304" s="21"/>
    </row>
    <row r="1305" spans="17:20" ht="15" customHeight="1" x14ac:dyDescent="0.25">
      <c r="Q1305" s="21"/>
      <c r="R1305" s="49"/>
      <c r="S1305" s="21"/>
      <c r="T1305" s="21"/>
    </row>
    <row r="1306" spans="17:20" ht="15" customHeight="1" x14ac:dyDescent="0.25">
      <c r="Q1306" s="21"/>
      <c r="R1306" s="49"/>
      <c r="S1306" s="21"/>
      <c r="T1306" s="21"/>
    </row>
    <row r="1307" spans="17:20" ht="15" customHeight="1" x14ac:dyDescent="0.25">
      <c r="Q1307" s="21"/>
      <c r="R1307" s="49"/>
      <c r="S1307" s="21"/>
      <c r="T1307" s="21"/>
    </row>
    <row r="1308" spans="17:20" ht="15" customHeight="1" x14ac:dyDescent="0.25">
      <c r="Q1308" s="21"/>
      <c r="R1308" s="49"/>
      <c r="S1308" s="21"/>
      <c r="T1308" s="21"/>
    </row>
    <row r="1309" spans="17:20" ht="15" customHeight="1" x14ac:dyDescent="0.25">
      <c r="Q1309" s="21"/>
      <c r="R1309" s="49"/>
      <c r="S1309" s="21"/>
      <c r="T1309" s="21"/>
    </row>
    <row r="1310" spans="17:20" ht="15" customHeight="1" x14ac:dyDescent="0.25">
      <c r="Q1310" s="21"/>
      <c r="R1310" s="49"/>
      <c r="S1310" s="21"/>
      <c r="T1310" s="21"/>
    </row>
    <row r="1311" spans="17:20" ht="15" customHeight="1" x14ac:dyDescent="0.25">
      <c r="Q1311" s="21"/>
      <c r="R1311" s="49"/>
      <c r="S1311" s="21"/>
      <c r="T1311" s="21"/>
    </row>
    <row r="1312" spans="17:20" ht="15" customHeight="1" x14ac:dyDescent="0.25">
      <c r="Q1312" s="21"/>
      <c r="R1312" s="49"/>
      <c r="S1312" s="21"/>
      <c r="T1312" s="21"/>
    </row>
    <row r="1313" spans="17:20" ht="15" customHeight="1" x14ac:dyDescent="0.25">
      <c r="Q1313" s="21"/>
      <c r="R1313" s="49"/>
      <c r="S1313" s="21"/>
      <c r="T1313" s="21"/>
    </row>
    <row r="1314" spans="17:20" ht="15" customHeight="1" x14ac:dyDescent="0.25">
      <c r="Q1314" s="21"/>
      <c r="R1314" s="49"/>
      <c r="S1314" s="21"/>
      <c r="T1314" s="21"/>
    </row>
    <row r="1315" spans="17:20" ht="15" customHeight="1" x14ac:dyDescent="0.25">
      <c r="Q1315" s="21"/>
      <c r="R1315" s="49"/>
      <c r="S1315" s="21"/>
      <c r="T1315" s="21"/>
    </row>
    <row r="1316" spans="17:20" ht="15" customHeight="1" x14ac:dyDescent="0.25">
      <c r="Q1316" s="21"/>
      <c r="R1316" s="49"/>
      <c r="S1316" s="21"/>
      <c r="T1316" s="21"/>
    </row>
    <row r="1317" spans="17:20" ht="15" customHeight="1" x14ac:dyDescent="0.25">
      <c r="Q1317" s="21"/>
      <c r="R1317" s="49"/>
      <c r="S1317" s="21"/>
      <c r="T1317" s="21"/>
    </row>
    <row r="1318" spans="17:20" ht="15" customHeight="1" x14ac:dyDescent="0.25">
      <c r="Q1318" s="21"/>
      <c r="R1318" s="49"/>
      <c r="S1318" s="21"/>
      <c r="T1318" s="21"/>
    </row>
    <row r="1319" spans="17:20" ht="15" customHeight="1" x14ac:dyDescent="0.25">
      <c r="Q1319" s="21"/>
      <c r="R1319" s="49"/>
      <c r="S1319" s="21"/>
      <c r="T1319" s="21"/>
    </row>
    <row r="1320" spans="17:20" ht="15" customHeight="1" x14ac:dyDescent="0.25">
      <c r="Q1320" s="21"/>
      <c r="R1320" s="49"/>
      <c r="S1320" s="21"/>
      <c r="T1320" s="21"/>
    </row>
    <row r="1321" spans="17:20" ht="15" customHeight="1" x14ac:dyDescent="0.25">
      <c r="Q1321" s="21"/>
      <c r="R1321" s="49"/>
      <c r="S1321" s="21"/>
      <c r="T1321" s="21"/>
    </row>
    <row r="1322" spans="17:20" ht="15" customHeight="1" x14ac:dyDescent="0.25">
      <c r="Q1322" s="21"/>
      <c r="R1322" s="49"/>
      <c r="S1322" s="21"/>
      <c r="T1322" s="21"/>
    </row>
    <row r="1323" spans="17:20" ht="15" customHeight="1" x14ac:dyDescent="0.25">
      <c r="Q1323" s="21"/>
      <c r="R1323" s="49"/>
      <c r="S1323" s="21"/>
      <c r="T1323" s="21"/>
    </row>
    <row r="1324" spans="17:20" ht="15" customHeight="1" x14ac:dyDescent="0.25">
      <c r="Q1324" s="21"/>
      <c r="R1324" s="49"/>
      <c r="S1324" s="21"/>
      <c r="T1324" s="21"/>
    </row>
    <row r="1325" spans="17:20" ht="15" customHeight="1" x14ac:dyDescent="0.25">
      <c r="Q1325" s="21"/>
      <c r="R1325" s="49"/>
      <c r="S1325" s="21"/>
      <c r="T1325" s="21"/>
    </row>
    <row r="1326" spans="17:20" ht="15" customHeight="1" x14ac:dyDescent="0.25">
      <c r="Q1326" s="21"/>
      <c r="R1326" s="49"/>
      <c r="S1326" s="21"/>
      <c r="T1326" s="21"/>
    </row>
    <row r="1327" spans="17:20" ht="15" customHeight="1" x14ac:dyDescent="0.25">
      <c r="Q1327" s="21"/>
      <c r="R1327" s="49"/>
      <c r="S1327" s="21"/>
      <c r="T1327" s="21"/>
    </row>
    <row r="1328" spans="17:20" ht="15" customHeight="1" x14ac:dyDescent="0.25">
      <c r="Q1328" s="21"/>
      <c r="R1328" s="49"/>
      <c r="S1328" s="21"/>
      <c r="T1328" s="21"/>
    </row>
    <row r="1329" spans="17:20" ht="15" customHeight="1" x14ac:dyDescent="0.25">
      <c r="Q1329" s="21"/>
      <c r="R1329" s="49"/>
      <c r="S1329" s="21"/>
      <c r="T1329" s="21"/>
    </row>
    <row r="1330" spans="17:20" ht="15" customHeight="1" x14ac:dyDescent="0.25">
      <c r="Q1330" s="21"/>
      <c r="R1330" s="49"/>
      <c r="S1330" s="21"/>
      <c r="T1330" s="21"/>
    </row>
    <row r="1331" spans="17:20" ht="15" customHeight="1" x14ac:dyDescent="0.25">
      <c r="Q1331" s="21"/>
      <c r="R1331" s="49"/>
      <c r="S1331" s="21"/>
      <c r="T1331" s="21"/>
    </row>
    <row r="1332" spans="17:20" ht="15" customHeight="1" x14ac:dyDescent="0.25">
      <c r="Q1332" s="21"/>
      <c r="R1332" s="49"/>
      <c r="S1332" s="21"/>
      <c r="T1332" s="21"/>
    </row>
    <row r="1333" spans="17:20" ht="15" customHeight="1" x14ac:dyDescent="0.25">
      <c r="Q1333" s="21"/>
      <c r="R1333" s="49"/>
      <c r="S1333" s="21"/>
      <c r="T1333" s="21"/>
    </row>
    <row r="1334" spans="17:20" ht="15" customHeight="1" x14ac:dyDescent="0.25">
      <c r="Q1334" s="21"/>
      <c r="R1334" s="49"/>
      <c r="S1334" s="21"/>
      <c r="T1334" s="21"/>
    </row>
    <row r="1335" spans="17:20" ht="15" customHeight="1" x14ac:dyDescent="0.25">
      <c r="Q1335" s="21"/>
      <c r="R1335" s="49"/>
      <c r="S1335" s="21"/>
      <c r="T1335" s="21"/>
    </row>
    <row r="1336" spans="17:20" ht="15" customHeight="1" x14ac:dyDescent="0.25">
      <c r="Q1336" s="21"/>
      <c r="R1336" s="49"/>
      <c r="S1336" s="21"/>
      <c r="T1336" s="21"/>
    </row>
    <row r="1337" spans="17:20" ht="15" customHeight="1" x14ac:dyDescent="0.25">
      <c r="Q1337" s="21"/>
      <c r="R1337" s="49"/>
      <c r="S1337" s="21"/>
      <c r="T1337" s="21"/>
    </row>
    <row r="1338" spans="17:20" ht="15" customHeight="1" x14ac:dyDescent="0.25">
      <c r="Q1338" s="21"/>
      <c r="R1338" s="49"/>
      <c r="S1338" s="21"/>
      <c r="T1338" s="21"/>
    </row>
    <row r="1339" spans="17:20" ht="15" customHeight="1" x14ac:dyDescent="0.25">
      <c r="Q1339" s="21"/>
      <c r="R1339" s="49"/>
      <c r="S1339" s="21"/>
      <c r="T1339" s="21"/>
    </row>
    <row r="1340" spans="17:20" ht="15" customHeight="1" x14ac:dyDescent="0.25">
      <c r="Q1340" s="21"/>
      <c r="R1340" s="49"/>
      <c r="S1340" s="21"/>
      <c r="T1340" s="21"/>
    </row>
    <row r="1341" spans="17:20" ht="15" customHeight="1" x14ac:dyDescent="0.25">
      <c r="Q1341" s="21"/>
      <c r="R1341" s="49"/>
      <c r="S1341" s="21"/>
      <c r="T1341" s="21"/>
    </row>
    <row r="1342" spans="17:20" ht="15" customHeight="1" x14ac:dyDescent="0.25">
      <c r="Q1342" s="21"/>
      <c r="R1342" s="49"/>
      <c r="S1342" s="21"/>
      <c r="T1342" s="21"/>
    </row>
    <row r="1343" spans="17:20" ht="15" customHeight="1" x14ac:dyDescent="0.25">
      <c r="Q1343" s="21"/>
      <c r="R1343" s="49"/>
      <c r="S1343" s="21"/>
      <c r="T1343" s="21"/>
    </row>
    <row r="1344" spans="17:20" ht="15" customHeight="1" x14ac:dyDescent="0.25">
      <c r="Q1344" s="21"/>
      <c r="R1344" s="49"/>
      <c r="S1344" s="21"/>
      <c r="T1344" s="21"/>
    </row>
    <row r="1345" spans="17:20" ht="15" customHeight="1" x14ac:dyDescent="0.25">
      <c r="Q1345" s="21"/>
      <c r="R1345" s="49"/>
      <c r="S1345" s="21"/>
      <c r="T1345" s="21"/>
    </row>
    <row r="1346" spans="17:20" ht="15" customHeight="1" x14ac:dyDescent="0.25">
      <c r="Q1346" s="21"/>
      <c r="R1346" s="49"/>
      <c r="S1346" s="21"/>
      <c r="T1346" s="21"/>
    </row>
    <row r="1347" spans="17:20" ht="15" customHeight="1" x14ac:dyDescent="0.25">
      <c r="Q1347" s="21"/>
      <c r="R1347" s="49"/>
      <c r="S1347" s="21"/>
      <c r="T1347" s="21"/>
    </row>
    <row r="1348" spans="17:20" ht="15" customHeight="1" x14ac:dyDescent="0.25">
      <c r="Q1348" s="21"/>
      <c r="R1348" s="49"/>
      <c r="S1348" s="21"/>
      <c r="T1348" s="21"/>
    </row>
    <row r="1349" spans="17:20" ht="15" customHeight="1" x14ac:dyDescent="0.25">
      <c r="Q1349" s="21"/>
      <c r="R1349" s="49"/>
      <c r="S1349" s="21"/>
      <c r="T1349" s="21"/>
    </row>
    <row r="1350" spans="17:20" ht="15" customHeight="1" x14ac:dyDescent="0.25">
      <c r="Q1350" s="21"/>
      <c r="R1350" s="49"/>
      <c r="S1350" s="21"/>
      <c r="T1350" s="21"/>
    </row>
    <row r="1351" spans="17:20" ht="15" customHeight="1" x14ac:dyDescent="0.25">
      <c r="Q1351" s="21"/>
      <c r="R1351" s="49"/>
      <c r="S1351" s="21"/>
      <c r="T1351" s="21"/>
    </row>
    <row r="1352" spans="17:20" ht="15" customHeight="1" x14ac:dyDescent="0.25">
      <c r="Q1352" s="21"/>
      <c r="R1352" s="49"/>
      <c r="S1352" s="21"/>
      <c r="T1352" s="21"/>
    </row>
    <row r="1353" spans="17:20" ht="15" customHeight="1" x14ac:dyDescent="0.25">
      <c r="Q1353" s="21"/>
      <c r="R1353" s="49"/>
      <c r="S1353" s="21"/>
      <c r="T1353" s="21"/>
    </row>
    <row r="1354" spans="17:20" ht="15" customHeight="1" x14ac:dyDescent="0.25">
      <c r="Q1354" s="21"/>
      <c r="R1354" s="49"/>
      <c r="S1354" s="21"/>
      <c r="T1354" s="21"/>
    </row>
    <row r="1355" spans="17:20" ht="15" customHeight="1" x14ac:dyDescent="0.25">
      <c r="Q1355" s="21"/>
      <c r="R1355" s="49"/>
      <c r="S1355" s="21"/>
      <c r="T1355" s="21"/>
    </row>
    <row r="1356" spans="17:20" ht="15" customHeight="1" x14ac:dyDescent="0.25">
      <c r="Q1356" s="21"/>
      <c r="R1356" s="49"/>
      <c r="S1356" s="21"/>
      <c r="T1356" s="21"/>
    </row>
    <row r="1357" spans="17:20" ht="15" customHeight="1" x14ac:dyDescent="0.25">
      <c r="Q1357" s="21"/>
      <c r="R1357" s="49"/>
      <c r="S1357" s="21"/>
      <c r="T1357" s="21"/>
    </row>
    <row r="1358" spans="17:20" ht="15" customHeight="1" x14ac:dyDescent="0.25">
      <c r="Q1358" s="21"/>
      <c r="R1358" s="49"/>
      <c r="S1358" s="21"/>
      <c r="T1358" s="21"/>
    </row>
    <row r="1359" spans="17:20" ht="15" customHeight="1" x14ac:dyDescent="0.25">
      <c r="Q1359" s="21"/>
      <c r="R1359" s="49"/>
      <c r="S1359" s="21"/>
      <c r="T1359" s="21"/>
    </row>
    <row r="1360" spans="17:20" ht="15" customHeight="1" x14ac:dyDescent="0.25">
      <c r="Q1360" s="21"/>
      <c r="R1360" s="49"/>
      <c r="S1360" s="21"/>
      <c r="T1360" s="21"/>
    </row>
    <row r="1361" spans="17:20" ht="15" customHeight="1" x14ac:dyDescent="0.25">
      <c r="Q1361" s="21"/>
      <c r="R1361" s="49"/>
      <c r="S1361" s="21"/>
      <c r="T1361" s="21"/>
    </row>
    <row r="1362" spans="17:20" ht="15" customHeight="1" x14ac:dyDescent="0.25">
      <c r="Q1362" s="21"/>
      <c r="R1362" s="49"/>
      <c r="S1362" s="21"/>
      <c r="T1362" s="21"/>
    </row>
    <row r="1363" spans="17:20" ht="15" customHeight="1" x14ac:dyDescent="0.25">
      <c r="Q1363" s="21"/>
      <c r="R1363" s="49"/>
      <c r="S1363" s="21"/>
      <c r="T1363" s="21"/>
    </row>
    <row r="1364" spans="17:20" ht="15" customHeight="1" x14ac:dyDescent="0.25">
      <c r="Q1364" s="21"/>
      <c r="R1364" s="49"/>
      <c r="S1364" s="21"/>
      <c r="T1364" s="21"/>
    </row>
    <row r="1365" spans="17:20" ht="15" customHeight="1" x14ac:dyDescent="0.25">
      <c r="Q1365" s="21"/>
      <c r="R1365" s="49"/>
      <c r="S1365" s="21"/>
      <c r="T1365" s="21"/>
    </row>
    <row r="1366" spans="17:20" ht="15" customHeight="1" x14ac:dyDescent="0.25">
      <c r="Q1366" s="21"/>
      <c r="R1366" s="49"/>
      <c r="S1366" s="21"/>
      <c r="T1366" s="21"/>
    </row>
    <row r="1367" spans="17:20" ht="15" customHeight="1" x14ac:dyDescent="0.25">
      <c r="Q1367" s="21"/>
      <c r="R1367" s="49"/>
      <c r="S1367" s="21"/>
      <c r="T1367" s="21"/>
    </row>
    <row r="1368" spans="17:20" ht="15" customHeight="1" x14ac:dyDescent="0.25">
      <c r="Q1368" s="21"/>
      <c r="R1368" s="49"/>
      <c r="S1368" s="21"/>
      <c r="T1368" s="21"/>
    </row>
    <row r="1369" spans="17:20" ht="15" customHeight="1" x14ac:dyDescent="0.25">
      <c r="Q1369" s="21"/>
      <c r="R1369" s="49"/>
      <c r="S1369" s="21"/>
      <c r="T1369" s="21"/>
    </row>
    <row r="1370" spans="17:20" ht="15" customHeight="1" x14ac:dyDescent="0.25">
      <c r="Q1370" s="21"/>
      <c r="R1370" s="49"/>
      <c r="S1370" s="21"/>
      <c r="T1370" s="21"/>
    </row>
    <row r="1371" spans="17:20" ht="15" customHeight="1" x14ac:dyDescent="0.25">
      <c r="Q1371" s="21"/>
      <c r="R1371" s="49"/>
      <c r="S1371" s="21"/>
      <c r="T1371" s="21"/>
    </row>
    <row r="1372" spans="17:20" ht="15" customHeight="1" x14ac:dyDescent="0.25">
      <c r="Q1372" s="21"/>
      <c r="R1372" s="49"/>
      <c r="S1372" s="21"/>
      <c r="T1372" s="21"/>
    </row>
    <row r="1373" spans="17:20" ht="15" customHeight="1" x14ac:dyDescent="0.25">
      <c r="Q1373" s="21"/>
      <c r="R1373" s="49"/>
      <c r="S1373" s="21"/>
      <c r="T1373" s="21"/>
    </row>
    <row r="1374" spans="17:20" ht="15" customHeight="1" x14ac:dyDescent="0.25">
      <c r="Q1374" s="21"/>
      <c r="R1374" s="49"/>
      <c r="S1374" s="21"/>
      <c r="T1374" s="21"/>
    </row>
    <row r="1375" spans="17:20" ht="15" customHeight="1" x14ac:dyDescent="0.25">
      <c r="Q1375" s="21"/>
      <c r="R1375" s="49"/>
      <c r="S1375" s="21"/>
      <c r="T1375" s="21"/>
    </row>
    <row r="1376" spans="17:20" ht="15" customHeight="1" x14ac:dyDescent="0.25">
      <c r="Q1376" s="21"/>
      <c r="R1376" s="49"/>
      <c r="S1376" s="21"/>
      <c r="T1376" s="21"/>
    </row>
    <row r="1377" spans="17:20" ht="15" customHeight="1" x14ac:dyDescent="0.25">
      <c r="Q1377" s="21"/>
      <c r="R1377" s="49"/>
      <c r="S1377" s="21"/>
      <c r="T1377" s="21"/>
    </row>
    <row r="1378" spans="17:20" ht="15" customHeight="1" x14ac:dyDescent="0.25">
      <c r="Q1378" s="21"/>
      <c r="R1378" s="49"/>
      <c r="S1378" s="21"/>
      <c r="T1378" s="21"/>
    </row>
    <row r="1379" spans="17:20" ht="15" customHeight="1" x14ac:dyDescent="0.25">
      <c r="Q1379" s="21"/>
      <c r="R1379" s="49"/>
      <c r="S1379" s="21"/>
      <c r="T1379" s="21"/>
    </row>
    <row r="1380" spans="17:20" ht="15" customHeight="1" x14ac:dyDescent="0.25">
      <c r="Q1380" s="21"/>
      <c r="R1380" s="49"/>
      <c r="S1380" s="21"/>
      <c r="T1380" s="21"/>
    </row>
    <row r="1381" spans="17:20" ht="15" customHeight="1" x14ac:dyDescent="0.25">
      <c r="Q1381" s="21"/>
      <c r="R1381" s="49"/>
      <c r="S1381" s="21"/>
      <c r="T1381" s="21"/>
    </row>
    <row r="1382" spans="17:20" ht="15" customHeight="1" x14ac:dyDescent="0.25">
      <c r="Q1382" s="21"/>
      <c r="R1382" s="49"/>
      <c r="S1382" s="21"/>
      <c r="T1382" s="21"/>
    </row>
    <row r="1383" spans="17:20" ht="15" customHeight="1" x14ac:dyDescent="0.25">
      <c r="Q1383" s="21"/>
      <c r="R1383" s="49"/>
      <c r="S1383" s="21"/>
      <c r="T1383" s="21"/>
    </row>
    <row r="1384" spans="17:20" ht="15" customHeight="1" x14ac:dyDescent="0.25">
      <c r="Q1384" s="21"/>
      <c r="R1384" s="49"/>
      <c r="S1384" s="21"/>
      <c r="T1384" s="21"/>
    </row>
    <row r="1385" spans="17:20" ht="15" customHeight="1" x14ac:dyDescent="0.25">
      <c r="Q1385" s="21"/>
      <c r="R1385" s="49"/>
      <c r="S1385" s="21"/>
      <c r="T1385" s="21"/>
    </row>
    <row r="1386" spans="17:20" ht="15" customHeight="1" x14ac:dyDescent="0.25">
      <c r="Q1386" s="21"/>
      <c r="R1386" s="49"/>
      <c r="S1386" s="21"/>
      <c r="T1386" s="21"/>
    </row>
    <row r="1387" spans="17:20" ht="15" customHeight="1" x14ac:dyDescent="0.25">
      <c r="Q1387" s="21"/>
      <c r="R1387" s="49"/>
      <c r="S1387" s="21"/>
      <c r="T1387" s="21"/>
    </row>
    <row r="1388" spans="17:20" ht="15" customHeight="1" x14ac:dyDescent="0.25">
      <c r="Q1388" s="21"/>
      <c r="R1388" s="49"/>
      <c r="S1388" s="21"/>
      <c r="T1388" s="21"/>
    </row>
    <row r="1389" spans="17:20" ht="15" customHeight="1" x14ac:dyDescent="0.25">
      <c r="Q1389" s="21"/>
      <c r="R1389" s="49"/>
      <c r="S1389" s="21"/>
      <c r="T1389" s="21"/>
    </row>
    <row r="1390" spans="17:20" ht="15" customHeight="1" x14ac:dyDescent="0.25">
      <c r="Q1390" s="21"/>
      <c r="R1390" s="49"/>
      <c r="S1390" s="21"/>
      <c r="T1390" s="21"/>
    </row>
    <row r="1391" spans="17:20" ht="15" customHeight="1" x14ac:dyDescent="0.25">
      <c r="Q1391" s="21"/>
      <c r="R1391" s="49"/>
      <c r="S1391" s="21"/>
      <c r="T1391" s="21"/>
    </row>
    <row r="1392" spans="17:20" ht="15" customHeight="1" x14ac:dyDescent="0.25">
      <c r="Q1392" s="21"/>
      <c r="R1392" s="49"/>
      <c r="S1392" s="21"/>
      <c r="T1392" s="21"/>
    </row>
    <row r="1393" spans="17:20" ht="15" customHeight="1" x14ac:dyDescent="0.25">
      <c r="Q1393" s="21"/>
      <c r="R1393" s="49"/>
      <c r="S1393" s="21"/>
      <c r="T1393" s="21"/>
    </row>
    <row r="1394" spans="17:20" ht="15" customHeight="1" x14ac:dyDescent="0.25">
      <c r="Q1394" s="21"/>
      <c r="R1394" s="49"/>
      <c r="S1394" s="21"/>
      <c r="T1394" s="21"/>
    </row>
    <row r="1395" spans="17:20" ht="15" customHeight="1" x14ac:dyDescent="0.25">
      <c r="Q1395" s="21"/>
      <c r="R1395" s="49"/>
      <c r="S1395" s="21"/>
      <c r="T1395" s="21"/>
    </row>
    <row r="1396" spans="17:20" ht="15" customHeight="1" x14ac:dyDescent="0.25">
      <c r="Q1396" s="21"/>
      <c r="R1396" s="49"/>
      <c r="S1396" s="21"/>
      <c r="T1396" s="21"/>
    </row>
    <row r="1397" spans="17:20" ht="15" customHeight="1" x14ac:dyDescent="0.25">
      <c r="Q1397" s="21"/>
      <c r="R1397" s="49"/>
      <c r="S1397" s="21"/>
      <c r="T1397" s="21"/>
    </row>
    <row r="1398" spans="17:20" ht="15" customHeight="1" x14ac:dyDescent="0.25">
      <c r="Q1398" s="21"/>
      <c r="R1398" s="49"/>
      <c r="S1398" s="21"/>
      <c r="T1398" s="21"/>
    </row>
    <row r="1399" spans="17:20" ht="15" customHeight="1" x14ac:dyDescent="0.25">
      <c r="Q1399" s="21"/>
      <c r="R1399" s="49"/>
      <c r="S1399" s="21"/>
      <c r="T1399" s="21"/>
    </row>
    <row r="1400" spans="17:20" ht="15" customHeight="1" x14ac:dyDescent="0.25">
      <c r="Q1400" s="21"/>
      <c r="R1400" s="49"/>
      <c r="S1400" s="21"/>
      <c r="T1400" s="21"/>
    </row>
    <row r="1401" spans="17:20" ht="15" customHeight="1" x14ac:dyDescent="0.25">
      <c r="Q1401" s="21"/>
      <c r="R1401" s="49"/>
      <c r="S1401" s="21"/>
      <c r="T1401" s="21"/>
    </row>
    <row r="1402" spans="17:20" ht="15" customHeight="1" x14ac:dyDescent="0.25">
      <c r="Q1402" s="21"/>
      <c r="R1402" s="49"/>
      <c r="S1402" s="21"/>
      <c r="T1402" s="21"/>
    </row>
    <row r="1403" spans="17:20" ht="15" customHeight="1" x14ac:dyDescent="0.25">
      <c r="Q1403" s="21"/>
      <c r="R1403" s="49"/>
      <c r="S1403" s="21"/>
      <c r="T1403" s="21"/>
    </row>
    <row r="1404" spans="17:20" ht="15" customHeight="1" x14ac:dyDescent="0.25">
      <c r="Q1404" s="21"/>
      <c r="R1404" s="49"/>
      <c r="S1404" s="21"/>
      <c r="T1404" s="21"/>
    </row>
    <row r="1405" spans="17:20" ht="15" customHeight="1" x14ac:dyDescent="0.25">
      <c r="Q1405" s="21"/>
      <c r="R1405" s="49"/>
      <c r="S1405" s="21"/>
      <c r="T1405" s="21"/>
    </row>
    <row r="1406" spans="17:20" ht="15" customHeight="1" x14ac:dyDescent="0.25">
      <c r="Q1406" s="21"/>
      <c r="R1406" s="49"/>
      <c r="S1406" s="21"/>
      <c r="T1406" s="21"/>
    </row>
    <row r="1407" spans="17:20" ht="15" customHeight="1" x14ac:dyDescent="0.25">
      <c r="Q1407" s="21"/>
      <c r="R1407" s="49"/>
      <c r="S1407" s="21"/>
      <c r="T1407" s="21"/>
    </row>
    <row r="1408" spans="17:20" ht="15" customHeight="1" x14ac:dyDescent="0.25">
      <c r="Q1408" s="21"/>
      <c r="R1408" s="49"/>
      <c r="S1408" s="21"/>
      <c r="T1408" s="21"/>
    </row>
    <row r="1409" spans="17:20" ht="15" customHeight="1" x14ac:dyDescent="0.25">
      <c r="Q1409" s="21"/>
      <c r="R1409" s="49"/>
      <c r="S1409" s="21"/>
      <c r="T1409" s="21"/>
    </row>
    <row r="1410" spans="17:20" ht="15" customHeight="1" x14ac:dyDescent="0.25">
      <c r="Q1410" s="21"/>
      <c r="R1410" s="49"/>
      <c r="S1410" s="21"/>
      <c r="T1410" s="21"/>
    </row>
    <row r="1411" spans="17:20" ht="15" customHeight="1" x14ac:dyDescent="0.25">
      <c r="Q1411" s="21"/>
      <c r="R1411" s="49"/>
      <c r="S1411" s="21"/>
      <c r="T1411" s="21"/>
    </row>
    <row r="1412" spans="17:20" ht="15" customHeight="1" x14ac:dyDescent="0.25">
      <c r="Q1412" s="21"/>
      <c r="R1412" s="49"/>
      <c r="S1412" s="21"/>
      <c r="T1412" s="21"/>
    </row>
    <row r="1413" spans="17:20" ht="15" customHeight="1" x14ac:dyDescent="0.25">
      <c r="Q1413" s="21"/>
      <c r="R1413" s="49"/>
      <c r="S1413" s="21"/>
      <c r="T1413" s="21"/>
    </row>
    <row r="1414" spans="17:20" ht="15" customHeight="1" x14ac:dyDescent="0.25">
      <c r="Q1414" s="21"/>
      <c r="R1414" s="49"/>
      <c r="S1414" s="21"/>
      <c r="T1414" s="21"/>
    </row>
    <row r="1415" spans="17:20" ht="15" customHeight="1" x14ac:dyDescent="0.25">
      <c r="Q1415" s="21"/>
      <c r="R1415" s="49"/>
      <c r="S1415" s="21"/>
      <c r="T1415" s="21"/>
    </row>
    <row r="1416" spans="17:20" ht="15" customHeight="1" x14ac:dyDescent="0.25">
      <c r="Q1416" s="21"/>
      <c r="R1416" s="49"/>
      <c r="S1416" s="21"/>
      <c r="T1416" s="21"/>
    </row>
    <row r="1417" spans="17:20" ht="15" customHeight="1" x14ac:dyDescent="0.25">
      <c r="Q1417" s="21"/>
      <c r="R1417" s="49"/>
      <c r="S1417" s="21"/>
      <c r="T1417" s="21"/>
    </row>
    <row r="1418" spans="17:20" ht="15" customHeight="1" x14ac:dyDescent="0.25">
      <c r="Q1418" s="21"/>
      <c r="R1418" s="49"/>
      <c r="S1418" s="21"/>
      <c r="T1418" s="21"/>
    </row>
    <row r="1419" spans="17:20" ht="15" customHeight="1" x14ac:dyDescent="0.25">
      <c r="Q1419" s="21"/>
      <c r="R1419" s="49"/>
      <c r="S1419" s="21"/>
      <c r="T1419" s="21"/>
    </row>
    <row r="1420" spans="17:20" ht="15" customHeight="1" x14ac:dyDescent="0.25">
      <c r="Q1420" s="21"/>
      <c r="R1420" s="49"/>
      <c r="S1420" s="21"/>
      <c r="T1420" s="21"/>
    </row>
    <row r="1421" spans="17:20" ht="15" customHeight="1" x14ac:dyDescent="0.25">
      <c r="Q1421" s="21"/>
      <c r="R1421" s="49"/>
      <c r="S1421" s="21"/>
      <c r="T1421" s="21"/>
    </row>
    <row r="1422" spans="17:20" ht="15" customHeight="1" x14ac:dyDescent="0.25">
      <c r="Q1422" s="21"/>
      <c r="R1422" s="49"/>
      <c r="S1422" s="21"/>
      <c r="T1422" s="21"/>
    </row>
    <row r="1423" spans="17:20" ht="15" customHeight="1" x14ac:dyDescent="0.25">
      <c r="Q1423" s="21"/>
      <c r="R1423" s="49"/>
      <c r="S1423" s="21"/>
      <c r="T1423" s="21"/>
    </row>
    <row r="1424" spans="17:20" ht="15" customHeight="1" x14ac:dyDescent="0.25">
      <c r="Q1424" s="21"/>
      <c r="R1424" s="49"/>
      <c r="S1424" s="21"/>
      <c r="T1424" s="21"/>
    </row>
    <row r="1425" spans="17:20" ht="15" customHeight="1" x14ac:dyDescent="0.25">
      <c r="Q1425" s="21"/>
      <c r="R1425" s="49"/>
      <c r="S1425" s="21"/>
      <c r="T1425" s="21"/>
    </row>
    <row r="1426" spans="17:20" ht="15" customHeight="1" x14ac:dyDescent="0.25">
      <c r="Q1426" s="21"/>
      <c r="R1426" s="49"/>
      <c r="S1426" s="21"/>
      <c r="T1426" s="21"/>
    </row>
    <row r="1427" spans="17:20" ht="15" customHeight="1" x14ac:dyDescent="0.25">
      <c r="Q1427" s="21"/>
      <c r="R1427" s="49"/>
      <c r="S1427" s="21"/>
      <c r="T1427" s="21"/>
    </row>
    <row r="1428" spans="17:20" ht="15" customHeight="1" x14ac:dyDescent="0.25">
      <c r="Q1428" s="21"/>
      <c r="R1428" s="49"/>
      <c r="S1428" s="21"/>
      <c r="T1428" s="21"/>
    </row>
    <row r="1429" spans="17:20" ht="15" customHeight="1" x14ac:dyDescent="0.25">
      <c r="Q1429" s="21"/>
      <c r="R1429" s="49"/>
      <c r="S1429" s="21"/>
      <c r="T1429" s="21"/>
    </row>
    <row r="1430" spans="17:20" ht="15" customHeight="1" x14ac:dyDescent="0.25">
      <c r="Q1430" s="21"/>
      <c r="R1430" s="49"/>
      <c r="S1430" s="21"/>
      <c r="T1430" s="21"/>
    </row>
    <row r="1431" spans="17:20" ht="15" customHeight="1" x14ac:dyDescent="0.25">
      <c r="Q1431" s="21"/>
      <c r="R1431" s="49"/>
      <c r="S1431" s="21"/>
      <c r="T1431" s="21"/>
    </row>
    <row r="1432" spans="17:20" ht="15" customHeight="1" x14ac:dyDescent="0.25">
      <c r="Q1432" s="21"/>
      <c r="R1432" s="49"/>
      <c r="S1432" s="21"/>
      <c r="T1432" s="21"/>
    </row>
    <row r="1433" spans="17:20" ht="15" customHeight="1" x14ac:dyDescent="0.25">
      <c r="Q1433" s="21"/>
      <c r="R1433" s="49"/>
      <c r="S1433" s="21"/>
      <c r="T1433" s="21"/>
    </row>
    <row r="1434" spans="17:20" ht="15" customHeight="1" x14ac:dyDescent="0.25">
      <c r="Q1434" s="21"/>
      <c r="R1434" s="49"/>
      <c r="S1434" s="21"/>
      <c r="T1434" s="21"/>
    </row>
    <row r="1435" spans="17:20" ht="15" customHeight="1" x14ac:dyDescent="0.25">
      <c r="Q1435" s="21"/>
      <c r="R1435" s="49"/>
      <c r="S1435" s="21"/>
      <c r="T1435" s="21"/>
    </row>
    <row r="1436" spans="17:20" ht="15" customHeight="1" x14ac:dyDescent="0.25">
      <c r="Q1436" s="21"/>
      <c r="R1436" s="49"/>
      <c r="S1436" s="21"/>
      <c r="T1436" s="21"/>
    </row>
    <row r="1437" spans="17:20" ht="15" customHeight="1" x14ac:dyDescent="0.25">
      <c r="Q1437" s="21"/>
      <c r="R1437" s="49"/>
      <c r="S1437" s="21"/>
      <c r="T1437" s="21"/>
    </row>
    <row r="1438" spans="17:20" ht="15" customHeight="1" x14ac:dyDescent="0.25">
      <c r="Q1438" s="21"/>
      <c r="R1438" s="49"/>
      <c r="S1438" s="21"/>
      <c r="T1438" s="21"/>
    </row>
    <row r="1439" spans="17:20" ht="15" customHeight="1" x14ac:dyDescent="0.25">
      <c r="Q1439" s="21"/>
      <c r="R1439" s="49"/>
      <c r="S1439" s="21"/>
      <c r="T1439" s="21"/>
    </row>
    <row r="1440" spans="17:20" ht="15" customHeight="1" x14ac:dyDescent="0.25">
      <c r="Q1440" s="21"/>
      <c r="R1440" s="49"/>
      <c r="S1440" s="21"/>
      <c r="T1440" s="21"/>
    </row>
    <row r="1441" spans="17:20" ht="15" customHeight="1" x14ac:dyDescent="0.25">
      <c r="Q1441" s="21"/>
      <c r="R1441" s="49"/>
      <c r="S1441" s="21"/>
      <c r="T1441" s="21"/>
    </row>
    <row r="1442" spans="17:20" ht="15" customHeight="1" x14ac:dyDescent="0.25">
      <c r="Q1442" s="21"/>
      <c r="R1442" s="49"/>
      <c r="S1442" s="21"/>
      <c r="T1442" s="21"/>
    </row>
    <row r="1443" spans="17:20" ht="15" customHeight="1" x14ac:dyDescent="0.25">
      <c r="Q1443" s="21"/>
      <c r="R1443" s="49"/>
      <c r="S1443" s="21"/>
      <c r="T1443" s="21"/>
    </row>
    <row r="1444" spans="17:20" ht="15" customHeight="1" x14ac:dyDescent="0.25">
      <c r="Q1444" s="21"/>
      <c r="R1444" s="49"/>
      <c r="S1444" s="21"/>
      <c r="T1444" s="21"/>
    </row>
    <row r="1445" spans="17:20" ht="15" customHeight="1" x14ac:dyDescent="0.25">
      <c r="Q1445" s="21"/>
      <c r="R1445" s="49"/>
      <c r="S1445" s="21"/>
      <c r="T1445" s="21"/>
    </row>
    <row r="1446" spans="17:20" ht="15" customHeight="1" x14ac:dyDescent="0.25">
      <c r="Q1446" s="21"/>
      <c r="R1446" s="49"/>
      <c r="S1446" s="21"/>
      <c r="T1446" s="21"/>
    </row>
    <row r="1447" spans="17:20" ht="15" customHeight="1" x14ac:dyDescent="0.25">
      <c r="Q1447" s="21"/>
      <c r="R1447" s="49"/>
      <c r="S1447" s="21"/>
      <c r="T1447" s="21"/>
    </row>
    <row r="1448" spans="17:20" ht="15" customHeight="1" x14ac:dyDescent="0.25">
      <c r="Q1448" s="21"/>
      <c r="R1448" s="49"/>
      <c r="S1448" s="21"/>
      <c r="T1448" s="21"/>
    </row>
    <row r="1449" spans="17:20" ht="15" customHeight="1" x14ac:dyDescent="0.25">
      <c r="Q1449" s="21"/>
      <c r="R1449" s="49"/>
      <c r="S1449" s="21"/>
      <c r="T1449" s="21"/>
    </row>
    <row r="1450" spans="17:20" ht="15" customHeight="1" x14ac:dyDescent="0.25">
      <c r="Q1450" s="21"/>
      <c r="R1450" s="49"/>
      <c r="S1450" s="21"/>
      <c r="T1450" s="21"/>
    </row>
    <row r="1451" spans="17:20" ht="15" customHeight="1" x14ac:dyDescent="0.25">
      <c r="Q1451" s="21"/>
      <c r="R1451" s="49"/>
      <c r="S1451" s="21"/>
      <c r="T1451" s="21"/>
    </row>
    <row r="1452" spans="17:20" ht="15" customHeight="1" x14ac:dyDescent="0.25">
      <c r="Q1452" s="21"/>
      <c r="R1452" s="49"/>
      <c r="S1452" s="21"/>
      <c r="T1452" s="21"/>
    </row>
    <row r="1453" spans="17:20" ht="15" customHeight="1" x14ac:dyDescent="0.25">
      <c r="Q1453" s="21"/>
      <c r="R1453" s="49"/>
      <c r="S1453" s="21"/>
      <c r="T1453" s="21"/>
    </row>
    <row r="1454" spans="17:20" ht="15" customHeight="1" x14ac:dyDescent="0.25">
      <c r="Q1454" s="21"/>
      <c r="R1454" s="49"/>
      <c r="S1454" s="21"/>
      <c r="T1454" s="21"/>
    </row>
    <row r="1455" spans="17:20" ht="15" customHeight="1" x14ac:dyDescent="0.25">
      <c r="Q1455" s="21"/>
      <c r="R1455" s="49"/>
      <c r="S1455" s="21"/>
      <c r="T1455" s="21"/>
    </row>
    <row r="1456" spans="17:20" ht="15" customHeight="1" x14ac:dyDescent="0.25">
      <c r="Q1456" s="21"/>
      <c r="R1456" s="49"/>
      <c r="S1456" s="21"/>
      <c r="T1456" s="21"/>
    </row>
    <row r="1457" spans="17:20" ht="15" customHeight="1" x14ac:dyDescent="0.25">
      <c r="Q1457" s="21"/>
      <c r="R1457" s="49"/>
      <c r="S1457" s="21"/>
      <c r="T1457" s="21"/>
    </row>
    <row r="1458" spans="17:20" ht="15" customHeight="1" x14ac:dyDescent="0.25">
      <c r="Q1458" s="21"/>
      <c r="R1458" s="49"/>
      <c r="S1458" s="21"/>
      <c r="T1458" s="21"/>
    </row>
    <row r="1459" spans="17:20" ht="15" customHeight="1" x14ac:dyDescent="0.25">
      <c r="Q1459" s="21"/>
      <c r="R1459" s="49"/>
      <c r="S1459" s="21"/>
      <c r="T1459" s="21"/>
    </row>
    <row r="1460" spans="17:20" ht="15" customHeight="1" x14ac:dyDescent="0.25">
      <c r="Q1460" s="21"/>
      <c r="R1460" s="49"/>
      <c r="S1460" s="21"/>
      <c r="T1460" s="21"/>
    </row>
    <row r="1461" spans="17:20" ht="15" customHeight="1" x14ac:dyDescent="0.25">
      <c r="Q1461" s="21"/>
      <c r="R1461" s="49"/>
      <c r="S1461" s="21"/>
      <c r="T1461" s="21"/>
    </row>
    <row r="1462" spans="17:20" ht="15" customHeight="1" x14ac:dyDescent="0.25">
      <c r="Q1462" s="21"/>
      <c r="R1462" s="49"/>
      <c r="S1462" s="21"/>
      <c r="T1462" s="21"/>
    </row>
    <row r="1463" spans="17:20" ht="15" customHeight="1" x14ac:dyDescent="0.25">
      <c r="Q1463" s="21"/>
      <c r="R1463" s="49"/>
      <c r="S1463" s="21"/>
      <c r="T1463" s="21"/>
    </row>
    <row r="1464" spans="17:20" ht="15" customHeight="1" x14ac:dyDescent="0.25">
      <c r="Q1464" s="21"/>
      <c r="R1464" s="49"/>
      <c r="S1464" s="21"/>
      <c r="T1464" s="21"/>
    </row>
    <row r="1465" spans="17:20" ht="15" customHeight="1" x14ac:dyDescent="0.25">
      <c r="Q1465" s="21"/>
      <c r="R1465" s="49"/>
      <c r="S1465" s="21"/>
      <c r="T1465" s="21"/>
    </row>
    <row r="1466" spans="17:20" ht="15" customHeight="1" x14ac:dyDescent="0.25">
      <c r="Q1466" s="21"/>
      <c r="R1466" s="49"/>
      <c r="S1466" s="21"/>
      <c r="T1466" s="21"/>
    </row>
    <row r="1467" spans="17:20" ht="15" customHeight="1" x14ac:dyDescent="0.25">
      <c r="Q1467" s="21"/>
      <c r="R1467" s="49"/>
      <c r="S1467" s="21"/>
      <c r="T1467" s="21"/>
    </row>
    <row r="1468" spans="17:20" ht="15" customHeight="1" x14ac:dyDescent="0.25">
      <c r="Q1468" s="21"/>
      <c r="R1468" s="49"/>
      <c r="S1468" s="21"/>
      <c r="T1468" s="21"/>
    </row>
    <row r="1469" spans="17:20" ht="15" customHeight="1" x14ac:dyDescent="0.25">
      <c r="Q1469" s="21"/>
      <c r="R1469" s="49"/>
      <c r="S1469" s="21"/>
      <c r="T1469" s="21"/>
    </row>
    <row r="1470" spans="17:20" ht="15" customHeight="1" x14ac:dyDescent="0.25">
      <c r="Q1470" s="21"/>
      <c r="R1470" s="49"/>
      <c r="S1470" s="21"/>
      <c r="T1470" s="21"/>
    </row>
    <row r="1471" spans="17:20" ht="15" customHeight="1" x14ac:dyDescent="0.25">
      <c r="Q1471" s="21"/>
      <c r="R1471" s="49"/>
      <c r="S1471" s="21"/>
      <c r="T1471" s="21"/>
    </row>
    <row r="1472" spans="17:20" ht="15" customHeight="1" x14ac:dyDescent="0.25">
      <c r="Q1472" s="21"/>
      <c r="R1472" s="49"/>
      <c r="S1472" s="21"/>
      <c r="T1472" s="21"/>
    </row>
    <row r="1473" spans="17:20" ht="15" customHeight="1" x14ac:dyDescent="0.25">
      <c r="Q1473" s="21"/>
      <c r="R1473" s="49"/>
      <c r="S1473" s="21"/>
      <c r="T1473" s="21"/>
    </row>
    <row r="1474" spans="17:20" ht="15" customHeight="1" x14ac:dyDescent="0.25">
      <c r="Q1474" s="21"/>
      <c r="R1474" s="49"/>
      <c r="S1474" s="21"/>
      <c r="T1474" s="21"/>
    </row>
    <row r="1475" spans="17:20" ht="15" customHeight="1" x14ac:dyDescent="0.25">
      <c r="Q1475" s="21"/>
      <c r="R1475" s="49"/>
      <c r="S1475" s="21"/>
      <c r="T1475" s="21"/>
    </row>
    <row r="1476" spans="17:20" ht="15" customHeight="1" x14ac:dyDescent="0.25">
      <c r="Q1476" s="21"/>
      <c r="R1476" s="49"/>
      <c r="S1476" s="21"/>
      <c r="T1476" s="21"/>
    </row>
    <row r="1477" spans="17:20" ht="15" customHeight="1" x14ac:dyDescent="0.25">
      <c r="Q1477" s="21"/>
      <c r="R1477" s="49"/>
      <c r="S1477" s="21"/>
      <c r="T1477" s="21"/>
    </row>
    <row r="1478" spans="17:20" ht="15" customHeight="1" x14ac:dyDescent="0.25">
      <c r="Q1478" s="21"/>
      <c r="R1478" s="49"/>
      <c r="S1478" s="21"/>
      <c r="T1478" s="21"/>
    </row>
    <row r="1479" spans="17:20" ht="15" customHeight="1" x14ac:dyDescent="0.25">
      <c r="Q1479" s="21"/>
      <c r="R1479" s="49"/>
      <c r="S1479" s="21"/>
      <c r="T1479" s="21"/>
    </row>
    <row r="1480" spans="17:20" ht="15" customHeight="1" x14ac:dyDescent="0.25">
      <c r="Q1480" s="21"/>
      <c r="R1480" s="49"/>
      <c r="S1480" s="21"/>
      <c r="T1480" s="21"/>
    </row>
    <row r="1481" spans="17:20" ht="15" customHeight="1" x14ac:dyDescent="0.25">
      <c r="Q1481" s="21"/>
      <c r="R1481" s="49"/>
      <c r="S1481" s="21"/>
      <c r="T1481" s="21"/>
    </row>
    <row r="1482" spans="17:20" ht="15" customHeight="1" x14ac:dyDescent="0.25">
      <c r="Q1482" s="21"/>
      <c r="R1482" s="49"/>
      <c r="S1482" s="21"/>
      <c r="T1482" s="21"/>
    </row>
    <row r="1483" spans="17:20" ht="15" customHeight="1" x14ac:dyDescent="0.25">
      <c r="Q1483" s="21"/>
      <c r="R1483" s="49"/>
      <c r="S1483" s="21"/>
      <c r="T1483" s="21"/>
    </row>
    <row r="1484" spans="17:20" ht="15" customHeight="1" x14ac:dyDescent="0.25">
      <c r="Q1484" s="21"/>
      <c r="R1484" s="49"/>
      <c r="S1484" s="21"/>
      <c r="T1484" s="21"/>
    </row>
    <row r="1485" spans="17:20" ht="15" customHeight="1" x14ac:dyDescent="0.25">
      <c r="Q1485" s="21"/>
      <c r="R1485" s="49"/>
      <c r="S1485" s="21"/>
      <c r="T1485" s="21"/>
    </row>
    <row r="1486" spans="17:20" ht="15" customHeight="1" x14ac:dyDescent="0.25">
      <c r="Q1486" s="21"/>
      <c r="R1486" s="49"/>
      <c r="S1486" s="21"/>
      <c r="T1486" s="21"/>
    </row>
    <row r="1487" spans="17:20" ht="15" customHeight="1" x14ac:dyDescent="0.25">
      <c r="Q1487" s="21"/>
      <c r="R1487" s="49"/>
      <c r="S1487" s="21"/>
      <c r="T1487" s="21"/>
    </row>
    <row r="1488" spans="17:20" ht="15" customHeight="1" x14ac:dyDescent="0.25">
      <c r="Q1488" s="21"/>
      <c r="R1488" s="49"/>
      <c r="S1488" s="21"/>
      <c r="T1488" s="21"/>
    </row>
    <row r="1489" spans="17:20" ht="15" customHeight="1" x14ac:dyDescent="0.25">
      <c r="Q1489" s="21"/>
      <c r="R1489" s="49"/>
      <c r="S1489" s="21"/>
      <c r="T1489" s="21"/>
    </row>
    <row r="1490" spans="17:20" ht="15" customHeight="1" x14ac:dyDescent="0.25">
      <c r="Q1490" s="21"/>
      <c r="R1490" s="49"/>
      <c r="S1490" s="21"/>
      <c r="T1490" s="21"/>
    </row>
    <row r="1491" spans="17:20" ht="15" customHeight="1" x14ac:dyDescent="0.25">
      <c r="Q1491" s="21"/>
      <c r="R1491" s="49"/>
      <c r="S1491" s="21"/>
      <c r="T1491" s="21"/>
    </row>
    <row r="1492" spans="17:20" ht="15" customHeight="1" x14ac:dyDescent="0.25">
      <c r="Q1492" s="21"/>
      <c r="R1492" s="49"/>
      <c r="S1492" s="21"/>
      <c r="T1492" s="21"/>
    </row>
    <row r="1493" spans="17:20" ht="15" customHeight="1" x14ac:dyDescent="0.25">
      <c r="Q1493" s="21"/>
      <c r="R1493" s="49"/>
      <c r="S1493" s="21"/>
      <c r="T1493" s="21"/>
    </row>
    <row r="1494" spans="17:20" ht="15" customHeight="1" x14ac:dyDescent="0.25">
      <c r="Q1494" s="21"/>
      <c r="R1494" s="49"/>
      <c r="S1494" s="21"/>
      <c r="T1494" s="21"/>
    </row>
    <row r="1495" spans="17:20" ht="15" customHeight="1" x14ac:dyDescent="0.25">
      <c r="Q1495" s="21"/>
      <c r="R1495" s="49"/>
      <c r="S1495" s="21"/>
      <c r="T1495" s="21"/>
    </row>
  </sheetData>
  <autoFilter ref="A14:T14" xr:uid="{00000000-0009-0000-0000-000000000000}"/>
  <mergeCells count="1">
    <mergeCell ref="O13:V13"/>
  </mergeCells>
  <conditionalFormatting sqref="L15">
    <cfRule type="expression" dxfId="160" priority="10">
      <formula>IF(AND(P15&gt;0),L15&gt;115)</formula>
    </cfRule>
  </conditionalFormatting>
  <conditionalFormatting sqref="L15">
    <cfRule type="cellIs" dxfId="159" priority="3" operator="equal">
      <formula>0</formula>
    </cfRule>
  </conditionalFormatting>
  <conditionalFormatting sqref="L16:L215">
    <cfRule type="expression" dxfId="158" priority="2">
      <formula>IF(AND(P16&gt;0),L16&gt;115)</formula>
    </cfRule>
  </conditionalFormatting>
  <conditionalFormatting sqref="L16:L215">
    <cfRule type="cellIs" dxfId="157" priority="1" operator="equal">
      <formula>0</formula>
    </cfRule>
  </conditionalFormatting>
  <dataValidations count="1">
    <dataValidation type="list" allowBlank="1" showInputMessage="1" showErrorMessage="1" sqref="O15:O1048576" xr:uid="{99A38D39-8489-49B8-A62D-B7411C1CB992}">
      <formula1>$O$11:$O$12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'Scenario''s'!$B$16:$B$17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7"/>
  <sheetViews>
    <sheetView showGridLines="0" topLeftCell="C1" workbookViewId="0">
      <selection activeCell="AA12" sqref="AA12"/>
    </sheetView>
  </sheetViews>
  <sheetFormatPr defaultRowHeight="13.2" x14ac:dyDescent="0.3"/>
  <cols>
    <col min="2" max="2" width="10.125" bestFit="1" customWidth="1"/>
    <col min="3" max="3" width="4.875" customWidth="1"/>
    <col min="4" max="5" width="9.375" customWidth="1"/>
    <col min="6" max="6" width="4.875" customWidth="1"/>
    <col min="7" max="8" width="9.375" customWidth="1"/>
    <col min="9" max="9" width="4.875" customWidth="1"/>
    <col min="10" max="11" width="9.375" customWidth="1"/>
    <col min="12" max="12" width="4.875" customWidth="1"/>
    <col min="13" max="14" width="9.375" customWidth="1"/>
    <col min="15" max="15" width="4.875" customWidth="1"/>
    <col min="16" max="17" width="9.375" customWidth="1"/>
    <col min="18" max="18" width="4.875" customWidth="1"/>
    <col min="19" max="20" width="9.375" customWidth="1"/>
    <col min="21" max="21" width="4.875" customWidth="1"/>
    <col min="23" max="23" width="18.125" bestFit="1" customWidth="1"/>
    <col min="24" max="24" width="17" customWidth="1"/>
    <col min="25" max="25" width="20.25" bestFit="1" customWidth="1"/>
  </cols>
  <sheetData>
    <row r="1" spans="1:26" x14ac:dyDescent="0.3">
      <c r="Y1" s="19"/>
    </row>
    <row r="2" spans="1:26" ht="13.8" thickBot="1" x14ac:dyDescent="0.35">
      <c r="W2" s="22" t="s">
        <v>9</v>
      </c>
      <c r="X2" s="19"/>
      <c r="Y2" s="88" t="s">
        <v>147</v>
      </c>
      <c r="Z2" s="88"/>
    </row>
    <row r="3" spans="1:26" x14ac:dyDescent="0.3">
      <c r="W3" s="23" t="s">
        <v>52</v>
      </c>
      <c r="X3" s="53">
        <f>COUNT(Basis!P:P)</f>
        <v>0</v>
      </c>
      <c r="Y3" s="86"/>
      <c r="Z3" s="87"/>
    </row>
    <row r="4" spans="1:26" x14ac:dyDescent="0.3">
      <c r="W4" s="50" t="s">
        <v>142</v>
      </c>
      <c r="X4" s="54">
        <f>SUM(Basis!S:S)</f>
        <v>0</v>
      </c>
      <c r="Y4" s="52" t="s">
        <v>144</v>
      </c>
      <c r="Z4" s="54">
        <f>SUM(Basis!T:T)</f>
        <v>0</v>
      </c>
    </row>
    <row r="5" spans="1:26" x14ac:dyDescent="0.3">
      <c r="W5" s="50" t="s">
        <v>10</v>
      </c>
      <c r="X5" s="54">
        <f>SUM(Basis!U:U)+SUM(Basis!T:T)+SUM(Basis!V:V)</f>
        <v>0</v>
      </c>
      <c r="Y5" s="52" t="s">
        <v>145</v>
      </c>
      <c r="Z5" s="54">
        <f>SUM(Basis!U:U)</f>
        <v>0</v>
      </c>
    </row>
    <row r="6" spans="1:26" ht="13.8" thickBot="1" x14ac:dyDescent="0.35">
      <c r="W6" s="51" t="s">
        <v>11</v>
      </c>
      <c r="X6" s="55">
        <f>SUM(Basis!R:R)</f>
        <v>0</v>
      </c>
      <c r="Y6" s="75" t="s">
        <v>146</v>
      </c>
      <c r="Z6" s="56">
        <f>SUM(Basis!V:V)</f>
        <v>0</v>
      </c>
    </row>
    <row r="9" spans="1:26" s="1" customFormat="1" ht="19.95" customHeight="1" x14ac:dyDescent="0.25">
      <c r="B9" s="2"/>
      <c r="D9" s="84" t="s">
        <v>35</v>
      </c>
      <c r="E9" s="85"/>
      <c r="F9" s="19"/>
      <c r="G9" s="84" t="s">
        <v>36</v>
      </c>
      <c r="H9" s="85"/>
      <c r="I9" s="19"/>
      <c r="J9" s="84" t="s">
        <v>37</v>
      </c>
      <c r="K9" s="85"/>
      <c r="L9" s="19"/>
      <c r="M9" s="84" t="s">
        <v>38</v>
      </c>
      <c r="N9" s="85"/>
      <c r="O9" s="19"/>
      <c r="P9" s="84" t="s">
        <v>39</v>
      </c>
      <c r="Q9" s="85"/>
      <c r="R9" s="19"/>
      <c r="S9" s="84" t="s">
        <v>40</v>
      </c>
      <c r="T9" s="85"/>
      <c r="U9" s="19"/>
    </row>
    <row r="10" spans="1:26" s="1" customFormat="1" ht="16.2" customHeight="1" x14ac:dyDescent="0.25">
      <c r="B10" s="2" t="s">
        <v>1</v>
      </c>
      <c r="C10" s="4"/>
      <c r="D10" s="10" t="s">
        <v>43</v>
      </c>
      <c r="E10" s="10" t="s">
        <v>42</v>
      </c>
      <c r="F10" s="4"/>
      <c r="G10" s="10" t="s">
        <v>43</v>
      </c>
      <c r="H10" s="10" t="s">
        <v>42</v>
      </c>
      <c r="I10" s="4"/>
      <c r="J10" s="10" t="s">
        <v>43</v>
      </c>
      <c r="K10" s="10" t="s">
        <v>42</v>
      </c>
      <c r="L10" s="4"/>
      <c r="M10" s="10" t="s">
        <v>43</v>
      </c>
      <c r="N10" s="10" t="s">
        <v>42</v>
      </c>
      <c r="O10" s="4"/>
      <c r="P10" s="10" t="s">
        <v>43</v>
      </c>
      <c r="Q10" s="10" t="s">
        <v>42</v>
      </c>
      <c r="R10" s="4"/>
      <c r="S10" s="10" t="s">
        <v>43</v>
      </c>
      <c r="T10" s="10" t="s">
        <v>42</v>
      </c>
      <c r="U10" s="4"/>
      <c r="V10" s="7"/>
    </row>
    <row r="11" spans="1:26" s="1" customFormat="1" ht="37.35" customHeight="1" x14ac:dyDescent="0.25">
      <c r="A11" s="3" t="s">
        <v>0</v>
      </c>
      <c r="B11" s="36">
        <f>SUM(Basis!S:S)</f>
        <v>0</v>
      </c>
      <c r="C11" s="5"/>
      <c r="D11" s="6">
        <v>75</v>
      </c>
      <c r="E11" s="37">
        <f>D11-$B11</f>
        <v>75</v>
      </c>
      <c r="F11" s="5"/>
      <c r="G11" s="6">
        <v>0</v>
      </c>
      <c r="H11" s="37">
        <f>G11-$B11</f>
        <v>0</v>
      </c>
      <c r="I11" s="5"/>
      <c r="J11" s="6">
        <v>0</v>
      </c>
      <c r="K11" s="37">
        <f>J11-$B11</f>
        <v>0</v>
      </c>
      <c r="L11" s="5"/>
      <c r="M11" s="6">
        <v>3.5</v>
      </c>
      <c r="N11" s="37">
        <f>M11-$B11</f>
        <v>3.5</v>
      </c>
      <c r="O11" s="5"/>
      <c r="P11" s="6">
        <v>8</v>
      </c>
      <c r="Q11" s="37">
        <f>P11-$B11</f>
        <v>8</v>
      </c>
      <c r="R11" s="5"/>
      <c r="S11" s="6">
        <v>10.5</v>
      </c>
      <c r="T11" s="37">
        <f>S11-$B11</f>
        <v>10.5</v>
      </c>
      <c r="U11" s="71"/>
      <c r="V11" s="7"/>
    </row>
    <row r="12" spans="1:26" s="1" customFormat="1" ht="37.35" customHeight="1" x14ac:dyDescent="0.25">
      <c r="A12" s="3" t="s">
        <v>41</v>
      </c>
      <c r="B12" s="57">
        <f>SUM(Basis!T:T)</f>
        <v>0</v>
      </c>
      <c r="C12" s="5"/>
      <c r="D12" s="6">
        <v>0</v>
      </c>
      <c r="E12" s="6">
        <f>D12-$B12</f>
        <v>0</v>
      </c>
      <c r="F12" s="5"/>
      <c r="G12" s="6">
        <v>12</v>
      </c>
      <c r="H12" s="6">
        <f>G12-$B12</f>
        <v>12</v>
      </c>
      <c r="I12" s="5"/>
      <c r="J12" s="6">
        <v>20</v>
      </c>
      <c r="K12" s="6">
        <f>J12-$B12</f>
        <v>20</v>
      </c>
      <c r="L12" s="5"/>
      <c r="M12" s="6">
        <v>36</v>
      </c>
      <c r="N12" s="6">
        <f>M12-$B12</f>
        <v>36</v>
      </c>
      <c r="O12" s="5"/>
      <c r="P12" s="6">
        <v>8</v>
      </c>
      <c r="Q12" s="6">
        <f>P12-$B12</f>
        <v>8</v>
      </c>
      <c r="R12" s="5"/>
      <c r="S12" s="6">
        <v>12</v>
      </c>
      <c r="T12" s="6">
        <f>S12-$B12</f>
        <v>12</v>
      </c>
      <c r="U12" s="71"/>
      <c r="V12" s="7"/>
    </row>
    <row r="13" spans="1:26" ht="37.200000000000003" customHeight="1" x14ac:dyDescent="0.3">
      <c r="A13" s="3" t="s">
        <v>143</v>
      </c>
      <c r="B13" s="57">
        <f>SUM(Basis!U:U) + SUM(Basis!V:V)</f>
        <v>0</v>
      </c>
      <c r="C13" s="5"/>
      <c r="D13" s="6">
        <v>0</v>
      </c>
      <c r="E13" s="6">
        <f>D13-$B13</f>
        <v>0</v>
      </c>
      <c r="F13" s="5"/>
      <c r="G13" s="6">
        <v>32</v>
      </c>
      <c r="H13" s="6">
        <f>G13-$B13</f>
        <v>32</v>
      </c>
      <c r="I13" s="5"/>
      <c r="J13" s="6">
        <v>28</v>
      </c>
      <c r="K13" s="6">
        <f>J13-$B13</f>
        <v>28</v>
      </c>
      <c r="L13" s="5"/>
      <c r="M13" s="6">
        <v>16</v>
      </c>
      <c r="N13" s="6">
        <f>M13-$B13</f>
        <v>16</v>
      </c>
      <c r="O13" s="5"/>
      <c r="P13" s="6">
        <v>32</v>
      </c>
      <c r="Q13" s="6">
        <f>P13-$B13</f>
        <v>32</v>
      </c>
      <c r="R13" s="5"/>
      <c r="S13" s="6">
        <v>28</v>
      </c>
      <c r="T13" s="6">
        <f>S13-$B13</f>
        <v>28</v>
      </c>
      <c r="U13" s="71"/>
      <c r="V13" s="72"/>
    </row>
    <row r="16" spans="1:26" x14ac:dyDescent="0.3">
      <c r="B16" s="19" t="s">
        <v>60</v>
      </c>
      <c r="C16" s="19"/>
      <c r="D16" s="19"/>
      <c r="E16" s="19">
        <f>IF(AND(E11&lt;1, E11&gt;=0, E12=0,E13=0),1,0)</f>
        <v>0</v>
      </c>
      <c r="F16" s="19"/>
      <c r="G16" s="19"/>
      <c r="H16" s="19">
        <f>IF(AND(H11&lt;1, H11&gt;=0, H12=0,H13=0),1,0)</f>
        <v>0</v>
      </c>
      <c r="I16" s="19"/>
      <c r="J16" s="19"/>
      <c r="K16" s="19">
        <f>IF(AND(K11&lt;1, K11&gt;=0, K12=0,K13=0),1,0)</f>
        <v>0</v>
      </c>
      <c r="L16" s="19"/>
      <c r="M16" s="19"/>
      <c r="N16" s="19">
        <f>IF(AND(N11&lt;1, N11&gt;=0, N12=0,N13=0),1,0)</f>
        <v>0</v>
      </c>
      <c r="O16" s="19"/>
      <c r="P16" s="19"/>
      <c r="Q16" s="19">
        <f>IF(AND(Q11&lt;1, Q11&gt;=0, Q12=0,Q13=0),1,0)</f>
        <v>0</v>
      </c>
      <c r="R16" s="19"/>
      <c r="S16" s="19"/>
      <c r="T16" s="19">
        <f>IF(AND(T11&lt;1, T11&gt;=0, T12=0,T13=0),1,0)</f>
        <v>0</v>
      </c>
      <c r="U16" s="19"/>
    </row>
    <row r="17" spans="2:21" x14ac:dyDescent="0.3">
      <c r="B17" s="19" t="s">
        <v>61</v>
      </c>
      <c r="C17" s="19"/>
      <c r="D17" s="19"/>
      <c r="E17" s="19">
        <f>IF(OR(E11&lt;0,E12&lt;0,E13&lt;0),1,0)</f>
        <v>0</v>
      </c>
      <c r="F17" s="19"/>
      <c r="G17" s="19"/>
      <c r="H17" s="19">
        <f>IF(OR(H11&lt;0,H12&lt;0,H13&lt;0),1,0)</f>
        <v>0</v>
      </c>
      <c r="I17" s="19"/>
      <c r="J17" s="19"/>
      <c r="K17" s="19">
        <f>IF(OR(K11&lt;0,K12&lt;0,K13&lt;0),1,0)</f>
        <v>0</v>
      </c>
      <c r="L17" s="19"/>
      <c r="M17" s="19"/>
      <c r="N17" s="19">
        <f>IF(OR(N11&lt;0,N12&lt;0,N13&lt;0),1,0)</f>
        <v>0</v>
      </c>
      <c r="O17" s="19"/>
      <c r="P17" s="19"/>
      <c r="Q17" s="19">
        <f>IF(OR(Q11&lt;0,Q12&lt;0,Q13&lt;0),1,0)</f>
        <v>0</v>
      </c>
      <c r="R17" s="19"/>
      <c r="S17" s="19"/>
      <c r="T17" s="19">
        <f>IF(OR(T11&lt;0,T12&lt;0,T13&lt;0),1,0)</f>
        <v>0</v>
      </c>
      <c r="U17" s="19"/>
    </row>
  </sheetData>
  <mergeCells count="6">
    <mergeCell ref="S9:T9"/>
    <mergeCell ref="D9:E9"/>
    <mergeCell ref="G9:H9"/>
    <mergeCell ref="J9:K9"/>
    <mergeCell ref="M9:N9"/>
    <mergeCell ref="P9:Q9"/>
  </mergeCells>
  <conditionalFormatting sqref="D11">
    <cfRule type="expression" dxfId="156" priority="473">
      <formula>ISBLANK($B$11)</formula>
    </cfRule>
    <cfRule type="expression" dxfId="155" priority="474">
      <formula>$B$11&lt;=D$11</formula>
    </cfRule>
    <cfRule type="expression" dxfId="154" priority="475">
      <formula>$B$11&gt;D$11</formula>
    </cfRule>
  </conditionalFormatting>
  <conditionalFormatting sqref="D12">
    <cfRule type="expression" dxfId="153" priority="470">
      <formula>ISBLANK($B$12)</formula>
    </cfRule>
    <cfRule type="expression" dxfId="152" priority="471">
      <formula>$B$12&lt;=D$12</formula>
    </cfRule>
    <cfRule type="expression" dxfId="151" priority="472">
      <formula>$B$12&gt;D$12</formula>
    </cfRule>
  </conditionalFormatting>
  <conditionalFormatting sqref="M11">
    <cfRule type="expression" dxfId="150" priority="461">
      <formula>ISBLANK($B$11)</formula>
    </cfRule>
    <cfRule type="expression" dxfId="149" priority="462">
      <formula>$B$11&lt;=M$11</formula>
    </cfRule>
    <cfRule type="expression" dxfId="148" priority="463">
      <formula>$B$11&gt;M$11</formula>
    </cfRule>
  </conditionalFormatting>
  <conditionalFormatting sqref="M12">
    <cfRule type="expression" dxfId="147" priority="458">
      <formula>ISBLANK($B$12)</formula>
    </cfRule>
    <cfRule type="expression" dxfId="146" priority="459">
      <formula>$B$12&lt;=M$12</formula>
    </cfRule>
    <cfRule type="expression" dxfId="145" priority="460">
      <formula>$B$12&gt;M$12</formula>
    </cfRule>
  </conditionalFormatting>
  <conditionalFormatting sqref="P11">
    <cfRule type="expression" dxfId="144" priority="455">
      <formula>ISBLANK($B$11)</formula>
    </cfRule>
    <cfRule type="expression" dxfId="143" priority="456">
      <formula>$B$11&lt;=P$11</formula>
    </cfRule>
    <cfRule type="expression" dxfId="142" priority="457">
      <formula>$B$11&gt;P$11</formula>
    </cfRule>
  </conditionalFormatting>
  <conditionalFormatting sqref="P12">
    <cfRule type="expression" dxfId="141" priority="452">
      <formula>ISBLANK($B$12)</formula>
    </cfRule>
    <cfRule type="expression" dxfId="140" priority="453">
      <formula>$B$12&lt;=P$12</formula>
    </cfRule>
    <cfRule type="expression" dxfId="139" priority="454">
      <formula>$B$12&gt;P$12</formula>
    </cfRule>
  </conditionalFormatting>
  <conditionalFormatting sqref="S11">
    <cfRule type="expression" dxfId="138" priority="404">
      <formula>ISBLANK($B$11)</formula>
    </cfRule>
    <cfRule type="expression" dxfId="137" priority="405">
      <formula>$B$11&lt;=S$11</formula>
    </cfRule>
    <cfRule type="expression" dxfId="136" priority="406">
      <formula>$B$11&gt;S$11</formula>
    </cfRule>
  </conditionalFormatting>
  <conditionalFormatting sqref="S12">
    <cfRule type="expression" dxfId="135" priority="401">
      <formula>ISBLANK($B$12)</formula>
    </cfRule>
    <cfRule type="expression" dxfId="134" priority="402">
      <formula>$B$12&lt;=S$12</formula>
    </cfRule>
    <cfRule type="expression" dxfId="133" priority="403">
      <formula>$B$12&gt;S$12</formula>
    </cfRule>
  </conditionalFormatting>
  <conditionalFormatting sqref="D13">
    <cfRule type="expression" dxfId="132" priority="356">
      <formula>ISBLANK($B$13)</formula>
    </cfRule>
    <cfRule type="expression" dxfId="131" priority="357">
      <formula>$B$13&lt;=D$13</formula>
    </cfRule>
    <cfRule type="expression" dxfId="130" priority="358">
      <formula>$B$13&gt;D$13</formula>
    </cfRule>
  </conditionalFormatting>
  <conditionalFormatting sqref="G11">
    <cfRule type="expression" dxfId="129" priority="219">
      <formula>ISBLANK($B$11)</formula>
    </cfRule>
    <cfRule type="expression" dxfId="128" priority="220">
      <formula>$B$11&lt;=G$11</formula>
    </cfRule>
    <cfRule type="expression" dxfId="127" priority="221">
      <formula>$B$11&gt;G$11</formula>
    </cfRule>
  </conditionalFormatting>
  <conditionalFormatting sqref="G12">
    <cfRule type="expression" dxfId="126" priority="216">
      <formula>ISBLANK($B$12)</formula>
    </cfRule>
    <cfRule type="expression" dxfId="125" priority="217">
      <formula>$B$12&lt;=G$12</formula>
    </cfRule>
    <cfRule type="expression" dxfId="124" priority="218">
      <formula>$B$12&gt;G$12</formula>
    </cfRule>
  </conditionalFormatting>
  <conditionalFormatting sqref="G13">
    <cfRule type="expression" dxfId="123" priority="213">
      <formula>ISBLANK($B$13)</formula>
    </cfRule>
    <cfRule type="expression" dxfId="122" priority="214">
      <formula>$B$13&lt;=G$13</formula>
    </cfRule>
    <cfRule type="expression" dxfId="121" priority="215">
      <formula>$B$13&gt;G$13</formula>
    </cfRule>
  </conditionalFormatting>
  <conditionalFormatting sqref="J11">
    <cfRule type="expression" dxfId="120" priority="210">
      <formula>ISBLANK($B$11)</formula>
    </cfRule>
    <cfRule type="expression" dxfId="119" priority="211">
      <formula>$B$11&lt;=J$11</formula>
    </cfRule>
    <cfRule type="expression" dxfId="118" priority="212">
      <formula>$B$11&gt;J$11</formula>
    </cfRule>
  </conditionalFormatting>
  <conditionalFormatting sqref="J12">
    <cfRule type="expression" dxfId="117" priority="207">
      <formula>ISBLANK($B$12)</formula>
    </cfRule>
    <cfRule type="expression" dxfId="116" priority="208">
      <formula>$B$12&lt;=J$12</formula>
    </cfRule>
    <cfRule type="expression" dxfId="115" priority="209">
      <formula>$B$12&gt;J$12</formula>
    </cfRule>
  </conditionalFormatting>
  <conditionalFormatting sqref="J13">
    <cfRule type="expression" dxfId="114" priority="204">
      <formula>ISBLANK($B$13)</formula>
    </cfRule>
    <cfRule type="expression" dxfId="113" priority="205">
      <formula>$B$13&lt;=J$13</formula>
    </cfRule>
    <cfRule type="expression" dxfId="112" priority="206">
      <formula>$B$13&gt;J$13</formula>
    </cfRule>
  </conditionalFormatting>
  <conditionalFormatting sqref="E12">
    <cfRule type="expression" dxfId="111" priority="200">
      <formula>ISBLANK($B12)</formula>
    </cfRule>
    <cfRule type="expression" dxfId="110" priority="201">
      <formula>D12-$B12&gt;0</formula>
    </cfRule>
    <cfRule type="expression" dxfId="109" priority="202">
      <formula>D12=$B12</formula>
    </cfRule>
    <cfRule type="expression" dxfId="108" priority="203">
      <formula>(D12-$B12)&lt;0</formula>
    </cfRule>
  </conditionalFormatting>
  <conditionalFormatting sqref="E13">
    <cfRule type="expression" dxfId="107" priority="196">
      <formula>ISBLANK($B13)</formula>
    </cfRule>
    <cfRule type="expression" dxfId="106" priority="197">
      <formula>D13-$B13&gt;0</formula>
    </cfRule>
    <cfRule type="expression" dxfId="105" priority="198">
      <formula>D13=$B13</formula>
    </cfRule>
    <cfRule type="expression" dxfId="104" priority="199">
      <formula>(D13-$B13)&lt;0</formula>
    </cfRule>
  </conditionalFormatting>
  <conditionalFormatting sqref="H12">
    <cfRule type="expression" dxfId="103" priority="188">
      <formula>ISBLANK($B12)</formula>
    </cfRule>
    <cfRule type="expression" dxfId="102" priority="189">
      <formula>G12-$B12&gt;0</formula>
    </cfRule>
    <cfRule type="expression" dxfId="101" priority="190">
      <formula>G12=$B12</formula>
    </cfRule>
    <cfRule type="expression" dxfId="100" priority="191">
      <formula>(G12-$B12)&lt;0</formula>
    </cfRule>
  </conditionalFormatting>
  <conditionalFormatting sqref="H13">
    <cfRule type="expression" dxfId="99" priority="184">
      <formula>ISBLANK($B13)</formula>
    </cfRule>
    <cfRule type="expression" dxfId="98" priority="185">
      <formula>G13-$B13&gt;0</formula>
    </cfRule>
    <cfRule type="expression" dxfId="97" priority="186">
      <formula>G13=$B13</formula>
    </cfRule>
    <cfRule type="expression" dxfId="96" priority="187">
      <formula>(G13-$B13)&lt;0</formula>
    </cfRule>
  </conditionalFormatting>
  <conditionalFormatting sqref="N12">
    <cfRule type="expression" dxfId="95" priority="164">
      <formula>ISBLANK($B12)</formula>
    </cfRule>
    <cfRule type="expression" dxfId="94" priority="165">
      <formula>M12-$B12&gt;0</formula>
    </cfRule>
    <cfRule type="expression" dxfId="93" priority="166">
      <formula>M12=$B12</formula>
    </cfRule>
    <cfRule type="expression" dxfId="92" priority="167">
      <formula>(M12-$B12)&lt;0</formula>
    </cfRule>
  </conditionalFormatting>
  <conditionalFormatting sqref="N13">
    <cfRule type="expression" dxfId="91" priority="160">
      <formula>ISBLANK($B13)</formula>
    </cfRule>
    <cfRule type="expression" dxfId="90" priority="161">
      <formula>M13-$B13&gt;0</formula>
    </cfRule>
    <cfRule type="expression" dxfId="89" priority="162">
      <formula>M13=$B13</formula>
    </cfRule>
    <cfRule type="expression" dxfId="88" priority="163">
      <formula>(M13-$B13)&lt;0</formula>
    </cfRule>
  </conditionalFormatting>
  <conditionalFormatting sqref="Q12">
    <cfRule type="expression" dxfId="87" priority="152">
      <formula>ISBLANK($B12)</formula>
    </cfRule>
    <cfRule type="expression" dxfId="86" priority="153">
      <formula>P12-$B12&gt;0</formula>
    </cfRule>
    <cfRule type="expression" dxfId="85" priority="154">
      <formula>P12=$B12</formula>
    </cfRule>
    <cfRule type="expression" dxfId="84" priority="155">
      <formula>(P12-$B12)&lt;0</formula>
    </cfRule>
  </conditionalFormatting>
  <conditionalFormatting sqref="Q13">
    <cfRule type="expression" dxfId="83" priority="148">
      <formula>ISBLANK($B13)</formula>
    </cfRule>
    <cfRule type="expression" dxfId="82" priority="149">
      <formula>P13-$B13&gt;0</formula>
    </cfRule>
    <cfRule type="expression" dxfId="81" priority="150">
      <formula>P13=$B13</formula>
    </cfRule>
    <cfRule type="expression" dxfId="80" priority="151">
      <formula>(P13-$B13)&lt;0</formula>
    </cfRule>
  </conditionalFormatting>
  <conditionalFormatting sqref="T12">
    <cfRule type="expression" dxfId="79" priority="140">
      <formula>ISBLANK($B12)</formula>
    </cfRule>
    <cfRule type="expression" dxfId="78" priority="141">
      <formula>S12-$B12&gt;0</formula>
    </cfRule>
    <cfRule type="expression" dxfId="77" priority="142">
      <formula>S12=$B12</formula>
    </cfRule>
    <cfRule type="expression" dxfId="76" priority="143">
      <formula>(S12-$B12)&lt;0</formula>
    </cfRule>
  </conditionalFormatting>
  <conditionalFormatting sqref="T13">
    <cfRule type="expression" dxfId="75" priority="136">
      <formula>ISBLANK($B13)</formula>
    </cfRule>
    <cfRule type="expression" dxfId="74" priority="137">
      <formula>S13-$B13&gt;0</formula>
    </cfRule>
    <cfRule type="expression" dxfId="73" priority="138">
      <formula>S13=$B13</formula>
    </cfRule>
    <cfRule type="expression" dxfId="72" priority="139">
      <formula>(S13-$B13)&lt;0</formula>
    </cfRule>
  </conditionalFormatting>
  <conditionalFormatting sqref="E10">
    <cfRule type="expression" dxfId="71" priority="110">
      <formula>ISBLANK($B$11)</formula>
    </cfRule>
  </conditionalFormatting>
  <conditionalFormatting sqref="H10">
    <cfRule type="expression" dxfId="70" priority="98">
      <formula>ISBLANK($B$11)</formula>
    </cfRule>
  </conditionalFormatting>
  <conditionalFormatting sqref="K10">
    <cfRule type="expression" dxfId="69" priority="97">
      <formula>ISBLANK($B$11)</formula>
    </cfRule>
  </conditionalFormatting>
  <conditionalFormatting sqref="N10">
    <cfRule type="expression" dxfId="68" priority="96">
      <formula>ISBLANK($B$11)</formula>
    </cfRule>
  </conditionalFormatting>
  <conditionalFormatting sqref="Q10">
    <cfRule type="expression" dxfId="67" priority="95">
      <formula>ISBLANK($B$11)</formula>
    </cfRule>
  </conditionalFormatting>
  <conditionalFormatting sqref="T10">
    <cfRule type="expression" dxfId="66" priority="94">
      <formula>ISBLANK($B$11)</formula>
    </cfRule>
  </conditionalFormatting>
  <conditionalFormatting sqref="W3">
    <cfRule type="expression" dxfId="64" priority="91">
      <formula>#REF!&gt;25</formula>
    </cfRule>
  </conditionalFormatting>
  <conditionalFormatting sqref="X4">
    <cfRule type="expression" dxfId="63" priority="89">
      <formula>$F$3&gt;25</formula>
    </cfRule>
  </conditionalFormatting>
  <conditionalFormatting sqref="X5">
    <cfRule type="expression" dxfId="62" priority="88">
      <formula>$F$3&gt;25</formula>
    </cfRule>
  </conditionalFormatting>
  <conditionalFormatting sqref="X6">
    <cfRule type="expression" dxfId="61" priority="87">
      <formula>$F$3&gt;25</formula>
    </cfRule>
  </conditionalFormatting>
  <conditionalFormatting sqref="Z4">
    <cfRule type="expression" dxfId="60" priority="86">
      <formula>$F$3&gt;25</formula>
    </cfRule>
  </conditionalFormatting>
  <conditionalFormatting sqref="Z5">
    <cfRule type="expression" dxfId="59" priority="85">
      <formula>$F$3&gt;25</formula>
    </cfRule>
  </conditionalFormatting>
  <conditionalFormatting sqref="Z6">
    <cfRule type="expression" dxfId="58" priority="84">
      <formula>$F$3&gt;25</formula>
    </cfRule>
  </conditionalFormatting>
  <conditionalFormatting sqref="M13">
    <cfRule type="expression" dxfId="57" priority="81">
      <formula>ISBLANK($B$13)</formula>
    </cfRule>
    <cfRule type="expression" dxfId="56" priority="82">
      <formula>$B$13&lt;=M$13</formula>
    </cfRule>
    <cfRule type="expression" dxfId="55" priority="83">
      <formula>$B$13&gt;M$13</formula>
    </cfRule>
  </conditionalFormatting>
  <conditionalFormatting sqref="P13">
    <cfRule type="expression" dxfId="54" priority="78">
      <formula>ISBLANK($B$13)</formula>
    </cfRule>
    <cfRule type="expression" dxfId="53" priority="79">
      <formula>$B$13&lt;=P$13</formula>
    </cfRule>
    <cfRule type="expression" dxfId="52" priority="80">
      <formula>$B$13&gt;P$13</formula>
    </cfRule>
  </conditionalFormatting>
  <conditionalFormatting sqref="S13">
    <cfRule type="expression" dxfId="51" priority="75">
      <formula>ISBLANK($B$13)</formula>
    </cfRule>
    <cfRule type="expression" dxfId="50" priority="76">
      <formula>$B$13&lt;=S$13</formula>
    </cfRule>
    <cfRule type="expression" dxfId="49" priority="77">
      <formula>$B$13&gt;S$13</formula>
    </cfRule>
  </conditionalFormatting>
  <conditionalFormatting sqref="N11">
    <cfRule type="expression" dxfId="48" priority="65">
      <formula>ISBLANK($B11)</formula>
    </cfRule>
    <cfRule type="expression" dxfId="47" priority="66">
      <formula>M11-$B11&gt;1</formula>
    </cfRule>
    <cfRule type="expression" dxfId="46" priority="67">
      <formula>IF(AND(M11-$B11&lt;1), (M11-$B11&gt;0))</formula>
    </cfRule>
    <cfRule type="expression" dxfId="45" priority="68">
      <formula>(M11-$B11)&lt;0</formula>
    </cfRule>
  </conditionalFormatting>
  <conditionalFormatting sqref="Q11">
    <cfRule type="expression" dxfId="44" priority="61">
      <formula>ISBLANK($B11)</formula>
    </cfRule>
    <cfRule type="expression" dxfId="43" priority="62">
      <formula>P11-$B11&gt;1</formula>
    </cfRule>
    <cfRule type="expression" dxfId="42" priority="63">
      <formula>IF(AND(P11-$B11&lt;1), (P11-$B11&gt;0))</formula>
    </cfRule>
    <cfRule type="expression" dxfId="41" priority="64">
      <formula>(P11-$B11)&lt;0</formula>
    </cfRule>
  </conditionalFormatting>
  <conditionalFormatting sqref="T11">
    <cfRule type="expression" dxfId="40" priority="57">
      <formula>ISBLANK($B11)</formula>
    </cfRule>
    <cfRule type="expression" dxfId="39" priority="58">
      <formula>S11-$B11&gt;1</formula>
    </cfRule>
    <cfRule type="expression" dxfId="38" priority="59">
      <formula>IF(AND(S11-$B11&lt;1), (S11-$B11&gt;0))</formula>
    </cfRule>
    <cfRule type="expression" dxfId="37" priority="60">
      <formula>(S11-$B11)&lt;0</formula>
    </cfRule>
  </conditionalFormatting>
  <conditionalFormatting sqref="H11">
    <cfRule type="expression" dxfId="36" priority="45">
      <formula>ISBLANK($B11)</formula>
    </cfRule>
    <cfRule type="expression" dxfId="35" priority="46">
      <formula>G11-$B11&gt;1</formula>
    </cfRule>
    <cfRule type="expression" dxfId="34" priority="47">
      <formula>IF(AND(G11-$B11&lt;1), (G11-$B11&gt;=0))</formula>
    </cfRule>
    <cfRule type="expression" dxfId="33" priority="48">
      <formula>(G11-$B11)&lt;0</formula>
    </cfRule>
  </conditionalFormatting>
  <conditionalFormatting sqref="E11">
    <cfRule type="expression" dxfId="32" priority="41">
      <formula>ISBLANK($B11)</formula>
    </cfRule>
    <cfRule type="expression" dxfId="31" priority="42">
      <formula>D11-$B11&gt;1</formula>
    </cfRule>
    <cfRule type="expression" dxfId="30" priority="43">
      <formula>IF(AND(D11-$B11&lt;1), (D11-$B11&gt;0))</formula>
    </cfRule>
    <cfRule type="expression" dxfId="29" priority="44">
      <formula>(D11-$B11)&lt;0</formula>
    </cfRule>
  </conditionalFormatting>
  <conditionalFormatting sqref="D9:E9">
    <cfRule type="expression" dxfId="28" priority="38">
      <formula>E17=1</formula>
    </cfRule>
    <cfRule type="expression" dxfId="27" priority="39">
      <formula>E16=1</formula>
    </cfRule>
  </conditionalFormatting>
  <conditionalFormatting sqref="G9:H9">
    <cfRule type="expression" dxfId="26" priority="36">
      <formula>H17=1</formula>
    </cfRule>
    <cfRule type="expression" dxfId="25" priority="37">
      <formula>H16=1</formula>
    </cfRule>
  </conditionalFormatting>
  <conditionalFormatting sqref="J9:K9">
    <cfRule type="expression" dxfId="24" priority="34">
      <formula>K17=1</formula>
    </cfRule>
    <cfRule type="expression" dxfId="23" priority="35">
      <formula>K16=1</formula>
    </cfRule>
  </conditionalFormatting>
  <conditionalFormatting sqref="M9:N9">
    <cfRule type="expression" dxfId="22" priority="32">
      <formula>N17=1</formula>
    </cfRule>
    <cfRule type="expression" dxfId="21" priority="33">
      <formula>N16=1</formula>
    </cfRule>
  </conditionalFormatting>
  <conditionalFormatting sqref="P9:Q9">
    <cfRule type="expression" dxfId="20" priority="30">
      <formula>Q17=1</formula>
    </cfRule>
    <cfRule type="expression" dxfId="19" priority="31">
      <formula>Q16=1</formula>
    </cfRule>
  </conditionalFormatting>
  <conditionalFormatting sqref="S9:T9">
    <cfRule type="expression" dxfId="18" priority="28">
      <formula>T17=1</formula>
    </cfRule>
    <cfRule type="expression" dxfId="17" priority="29">
      <formula>T16=1</formula>
    </cfRule>
  </conditionalFormatting>
  <conditionalFormatting sqref="K12">
    <cfRule type="expression" dxfId="16" priority="16">
      <formula>ISBLANK($B12)</formula>
    </cfRule>
    <cfRule type="expression" dxfId="15" priority="17">
      <formula>J12-$B12&gt;0</formula>
    </cfRule>
    <cfRule type="expression" dxfId="14" priority="18">
      <formula>J12=$B12</formula>
    </cfRule>
    <cfRule type="expression" dxfId="13" priority="19">
      <formula>(J12-$B12)&lt;0</formula>
    </cfRule>
  </conditionalFormatting>
  <conditionalFormatting sqref="K13">
    <cfRule type="expression" dxfId="12" priority="12">
      <formula>ISBLANK($B13)</formula>
    </cfRule>
    <cfRule type="expression" dxfId="11" priority="13">
      <formula>J13-$B13&gt;0</formula>
    </cfRule>
    <cfRule type="expression" dxfId="10" priority="14">
      <formula>J13=$B13</formula>
    </cfRule>
    <cfRule type="expression" dxfId="9" priority="15">
      <formula>(J13-$B13)&lt;0</formula>
    </cfRule>
  </conditionalFormatting>
  <conditionalFormatting sqref="K11">
    <cfRule type="expression" dxfId="8" priority="8">
      <formula>ISBLANK($B11)</formula>
    </cfRule>
    <cfRule type="expression" dxfId="7" priority="9">
      <formula>J11-$B11&gt;1</formula>
    </cfRule>
    <cfRule type="expression" dxfId="6" priority="10">
      <formula>IF(AND(J11-$B11&lt;1), (J11-$B11&gt;=0))</formula>
    </cfRule>
    <cfRule type="expression" dxfId="5" priority="11">
      <formula>(J11-$B11)&lt;0</formula>
    </cfRule>
  </conditionalFormatting>
  <conditionalFormatting sqref="Y4">
    <cfRule type="expression" dxfId="4" priority="7">
      <formula>$Z$4=60</formula>
    </cfRule>
  </conditionalFormatting>
  <conditionalFormatting sqref="Y5">
    <cfRule type="expression" dxfId="3" priority="6">
      <formula>$Z$5=44</formula>
    </cfRule>
  </conditionalFormatting>
  <conditionalFormatting sqref="Y6">
    <cfRule type="expression" dxfId="2" priority="5">
      <formula>$Z$6=40</formula>
    </cfRule>
  </conditionalFormatting>
  <conditionalFormatting sqref="Y2">
    <cfRule type="expression" dxfId="1" priority="2">
      <formula>OR($Z$4=60,$Z$5=44,$Z$6=40)</formula>
    </cfRule>
  </conditionalFormatting>
  <conditionalFormatting sqref="Z2">
    <cfRule type="expression" dxfId="0" priority="1">
      <formula>OR($Z$4=60,$Z$5=44,$Z$6=40)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0" id="{00000000-000E-0000-0100-000057000000}">
            <xm:f>$X$3&gt;Basis!$C$5</xm:f>
            <x14:dxf>
              <fill>
                <patternFill>
                  <bgColor theme="5"/>
                </patternFill>
              </fill>
            </x14:dxf>
          </x14:cfRule>
          <xm:sqref>X3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Basis</vt:lpstr>
      <vt:lpstr>Scenario's</vt:lpstr>
    </vt:vector>
  </TitlesOfParts>
  <Company>Edelman B.V.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Janine Spruijt</dc:creator>
  <cp:lastModifiedBy>Janine Spruijt</cp:lastModifiedBy>
  <dcterms:created xsi:type="dcterms:W3CDTF">2022-03-31T11:46:51Z</dcterms:created>
  <dcterms:modified xsi:type="dcterms:W3CDTF">2022-04-26T18:02:38Z</dcterms:modified>
</cp:coreProperties>
</file>
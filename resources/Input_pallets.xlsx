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Inkoop\Buyergroup 3\Niels\Draft orders\SSG26 CLD juli\Overzichten\"/>
    </mc:Choice>
  </mc:AlternateContent>
  <xr:revisionPtr revIDLastSave="0" documentId="13_ncr:1_{4086A680-E179-47EE-87BF-D121AF754C2F}" xr6:coauthVersionLast="47" xr6:coauthVersionMax="47" xr10:uidLastSave="{00000000-0000-0000-0000-000000000000}"/>
  <bookViews>
    <workbookView xWindow="1800" yWindow="1215" windowWidth="21600" windowHeight="11385" activeTab="1" xr2:uid="{F22916E3-7EEC-4118-BF05-556D01DF1015}"/>
  </bookViews>
  <sheets>
    <sheet name="Sheet1" sheetId="1" r:id="rId1"/>
    <sheet name="Sheet2" sheetId="2" r:id="rId2"/>
  </sheets>
  <definedNames>
    <definedName name="_xlnm._FilterDatabase" localSheetId="0" hidden="1">Sheet1!$A$2:$J$14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J14" i="1"/>
  <c r="E3" i="1" l="1"/>
  <c r="C13" i="2" l="1"/>
  <c r="I12" i="2"/>
  <c r="G12" i="2"/>
  <c r="H12" i="2" s="1"/>
  <c r="E12" i="2"/>
  <c r="I11" i="2"/>
  <c r="G11" i="2"/>
  <c r="H11" i="2" s="1"/>
  <c r="E11" i="2"/>
  <c r="I10" i="2"/>
  <c r="G10" i="2"/>
  <c r="H10" i="2" s="1"/>
  <c r="E10" i="2"/>
  <c r="I9" i="2"/>
  <c r="G9" i="2"/>
  <c r="H9" i="2" s="1"/>
  <c r="E9" i="2"/>
  <c r="I8" i="2"/>
  <c r="G8" i="2"/>
  <c r="H8" i="2" s="1"/>
  <c r="E8" i="2"/>
  <c r="I7" i="2"/>
  <c r="G7" i="2"/>
  <c r="H7" i="2" s="1"/>
  <c r="E7" i="2"/>
  <c r="I6" i="2"/>
  <c r="G6" i="2"/>
  <c r="H6" i="2" s="1"/>
  <c r="E6" i="2"/>
  <c r="I5" i="2"/>
  <c r="G5" i="2"/>
  <c r="H5" i="2" s="1"/>
  <c r="E5" i="2"/>
  <c r="I4" i="2"/>
  <c r="G4" i="2"/>
  <c r="H4" i="2" s="1"/>
  <c r="E4" i="2"/>
  <c r="I3" i="2"/>
  <c r="G3" i="2"/>
  <c r="H3" i="2" s="1"/>
  <c r="E3" i="2"/>
  <c r="I2" i="2"/>
  <c r="E2" i="2"/>
  <c r="G6" i="1"/>
  <c r="H6" i="1" s="1"/>
  <c r="I6" i="1"/>
  <c r="E6" i="1"/>
  <c r="C14" i="1"/>
  <c r="I13" i="1"/>
  <c r="G13" i="1"/>
  <c r="H13" i="1" s="1"/>
  <c r="E13" i="1"/>
  <c r="I12" i="1"/>
  <c r="G12" i="1"/>
  <c r="H12" i="1" s="1"/>
  <c r="E12" i="1"/>
  <c r="I11" i="1"/>
  <c r="G11" i="1"/>
  <c r="H11" i="1" s="1"/>
  <c r="E11" i="1"/>
  <c r="I10" i="1"/>
  <c r="G10" i="1"/>
  <c r="H10" i="1" s="1"/>
  <c r="E10" i="1"/>
  <c r="I9" i="1"/>
  <c r="G9" i="1"/>
  <c r="H9" i="1" s="1"/>
  <c r="E9" i="1"/>
  <c r="I8" i="1"/>
  <c r="G8" i="1"/>
  <c r="H8" i="1" s="1"/>
  <c r="E8" i="1"/>
  <c r="I7" i="1"/>
  <c r="G7" i="1"/>
  <c r="H7" i="1" s="1"/>
  <c r="E7" i="1"/>
  <c r="I5" i="1"/>
  <c r="G5" i="1"/>
  <c r="H5" i="1" s="1"/>
  <c r="E5" i="1"/>
  <c r="I4" i="1"/>
  <c r="G4" i="1"/>
  <c r="H4" i="1" s="1"/>
  <c r="E4" i="1"/>
  <c r="I3" i="1"/>
  <c r="G3" i="1"/>
  <c r="H3" i="1" s="1"/>
  <c r="G13" i="2" l="1"/>
  <c r="I13" i="2"/>
  <c r="J13" i="2" s="1"/>
  <c r="H2" i="2"/>
  <c r="H13" i="2" s="1"/>
  <c r="I14" i="1"/>
  <c r="H14" i="1"/>
  <c r="G14" i="1"/>
</calcChain>
</file>

<file path=xl/sharedStrings.xml><?xml version="1.0" encoding="utf-8"?>
<sst xmlns="http://schemas.openxmlformats.org/spreadsheetml/2006/main" count="70" uniqueCount="36">
  <si>
    <t>Fill in</t>
  </si>
  <si>
    <t>Pallet size</t>
  </si>
  <si>
    <t>Pallet type</t>
  </si>
  <si>
    <t># pallets</t>
  </si>
  <si>
    <t>Pallet row</t>
  </si>
  <si>
    <t># rows</t>
  </si>
  <si>
    <t># rows (adjust to full rows)</t>
  </si>
  <si>
    <t>Adjusted # of pallets</t>
  </si>
  <si>
    <t>Adjusted pallets</t>
  </si>
  <si>
    <t>Meters</t>
  </si>
  <si>
    <t>Full container loads</t>
  </si>
  <si>
    <t>115x115  &gt;h88</t>
  </si>
  <si>
    <t>A1</t>
  </si>
  <si>
    <t>115x115 (&lt;h89 and &gt; 65)</t>
  </si>
  <si>
    <t>A2</t>
  </si>
  <si>
    <t>115x115 &lt;h66</t>
  </si>
  <si>
    <t>A3</t>
  </si>
  <si>
    <t>115x108 &gt;h88</t>
  </si>
  <si>
    <t>B1</t>
  </si>
  <si>
    <t>115x108 (&lt;h89 and &gt; 65)</t>
  </si>
  <si>
    <t>B2</t>
  </si>
  <si>
    <t>115x108 &lt; h66</t>
  </si>
  <si>
    <t>B3</t>
  </si>
  <si>
    <t>115x77 (row per 6)</t>
  </si>
  <si>
    <t>C1</t>
  </si>
  <si>
    <t>115x77 (row per 4)</t>
  </si>
  <si>
    <t>C2</t>
  </si>
  <si>
    <t>77x77 &gt;h88</t>
  </si>
  <si>
    <t>D1</t>
  </si>
  <si>
    <t>77x77 &lt;h89</t>
  </si>
  <si>
    <t>D2</t>
  </si>
  <si>
    <t>Total</t>
  </si>
  <si>
    <t>A4</t>
  </si>
  <si>
    <t>114x114x230 (Belize)</t>
  </si>
  <si>
    <t>Alleen  te gebruiken als aantal pallets niet deelbaar is door 6, maar wel door 4</t>
  </si>
  <si>
    <t>Outercartons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</si>
</sst>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0" borderId="1" xfId="0" applyFont="1" applyBorder="1"/>
    <xf numFmtId="2" fontId="3" fillId="0" borderId="1" xfId="0" applyNumberFormat="1" applyFont="1" applyBorder="1"/>
    <xf numFmtId="1" fontId="3" fillId="0" borderId="1" xfId="0" applyNumberFormat="1" applyFont="1" applyBorder="1"/>
    <xf numFmtId="1" fontId="3" fillId="3" borderId="1" xfId="0" applyNumberFormat="1" applyFont="1" applyFill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3" fillId="4" borderId="1" xfId="0" applyFont="1" applyFill="1" applyBorder="1"/>
    <xf numFmtId="0" fontId="3" fillId="4" borderId="0" xfId="0" applyFont="1" applyFill="1"/>
    <xf numFmtId="0" fontId="3" fillId="0" borderId="0" xfId="0" applyFont="1"/>
    <xf numFmtId="0" fontId="3" fillId="2" borderId="1" xfId="0" applyFont="1" applyFill="1" applyBorder="1"/>
    <xf numFmtId="2" fontId="2" fillId="0" borderId="1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DF55-8EC9-45DF-891F-937C5D959F09}">
  <dimension ref="A1:J16"/>
  <sheetViews>
    <sheetView workbookViewId="0">
      <selection activeCell="A26" sqref="A26"/>
    </sheetView>
  </sheetViews>
  <sheetFormatPr defaultRowHeight="15" x14ac:dyDescent="0.25"/>
  <cols>
    <col min="1" max="1" width="23.140625" customWidth="1"/>
  </cols>
  <sheetData>
    <row r="1" spans="1:10" x14ac:dyDescent="0.25">
      <c r="A1" s="1"/>
      <c r="B1" s="1"/>
      <c r="C1" s="1" t="s">
        <v>0</v>
      </c>
      <c r="D1" s="1"/>
      <c r="E1" s="1"/>
      <c r="F1" s="1" t="s">
        <v>0</v>
      </c>
      <c r="G1" s="1"/>
      <c r="H1" s="1"/>
      <c r="I1" s="1"/>
      <c r="J1" s="1"/>
    </row>
    <row r="2" spans="1:10" ht="36.7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spans="1:10" x14ac:dyDescent="0.25">
      <c r="A3" s="4" t="s">
        <v>11</v>
      </c>
      <c r="B3" s="4" t="s">
        <v>12</v>
      </c>
      <c r="C3" s="13">
        <v>0</v>
      </c>
      <c r="D3" s="4">
        <v>4</v>
      </c>
      <c r="E3" s="5">
        <f>C3/D3</f>
        <v>0</v>
      </c>
      <c r="F3" s="7">
        <v>0</v>
      </c>
      <c r="G3" s="6">
        <f>F3*D3</f>
        <v>0</v>
      </c>
      <c r="H3" s="6">
        <f>G3-C3</f>
        <v>0</v>
      </c>
      <c r="I3" s="5">
        <f>F3*1.15</f>
        <v>0</v>
      </c>
      <c r="J3" s="4"/>
    </row>
    <row r="4" spans="1:10" x14ac:dyDescent="0.25">
      <c r="A4" s="4" t="s">
        <v>13</v>
      </c>
      <c r="B4" s="4" t="s">
        <v>14</v>
      </c>
      <c r="C4" s="13">
        <v>0</v>
      </c>
      <c r="D4" s="4">
        <v>6</v>
      </c>
      <c r="E4" s="5">
        <f t="shared" ref="E4:E13" si="0">C4/D4</f>
        <v>0</v>
      </c>
      <c r="F4" s="7">
        <v>0</v>
      </c>
      <c r="G4" s="6">
        <f t="shared" ref="G4:G13" si="1">F4*D4</f>
        <v>0</v>
      </c>
      <c r="H4" s="6">
        <f t="shared" ref="H4:H13" si="2">G4-C4</f>
        <v>0</v>
      </c>
      <c r="I4" s="5">
        <f t="shared" ref="I4:I5" si="3">F4*1.15</f>
        <v>0</v>
      </c>
      <c r="J4" s="4"/>
    </row>
    <row r="5" spans="1:10" x14ac:dyDescent="0.25">
      <c r="A5" s="4" t="s">
        <v>15</v>
      </c>
      <c r="B5" s="4" t="s">
        <v>16</v>
      </c>
      <c r="C5" s="13">
        <v>0</v>
      </c>
      <c r="D5" s="4">
        <v>8</v>
      </c>
      <c r="E5" s="5">
        <f t="shared" si="0"/>
        <v>0</v>
      </c>
      <c r="F5" s="7">
        <v>0</v>
      </c>
      <c r="G5" s="6">
        <f t="shared" si="1"/>
        <v>0</v>
      </c>
      <c r="H5" s="6">
        <f t="shared" si="2"/>
        <v>0</v>
      </c>
      <c r="I5" s="5">
        <f t="shared" si="3"/>
        <v>0</v>
      </c>
      <c r="J5" s="4"/>
    </row>
    <row r="6" spans="1:10" x14ac:dyDescent="0.25">
      <c r="A6" s="4" t="s">
        <v>33</v>
      </c>
      <c r="B6" s="4" t="s">
        <v>32</v>
      </c>
      <c r="C6" s="13">
        <v>0</v>
      </c>
      <c r="D6" s="4">
        <v>2</v>
      </c>
      <c r="E6" s="5">
        <f>C6/D6</f>
        <v>0</v>
      </c>
      <c r="F6" s="7">
        <v>0</v>
      </c>
      <c r="G6" s="6">
        <f>F6*D6</f>
        <v>0</v>
      </c>
      <c r="H6" s="6">
        <f>G6-C6</f>
        <v>0</v>
      </c>
      <c r="I6" s="5">
        <f>F6*1.15</f>
        <v>0</v>
      </c>
      <c r="J6" s="4"/>
    </row>
    <row r="7" spans="1:10" x14ac:dyDescent="0.25">
      <c r="A7" s="4" t="s">
        <v>17</v>
      </c>
      <c r="B7" s="4" t="s">
        <v>18</v>
      </c>
      <c r="C7" s="13">
        <v>0</v>
      </c>
      <c r="D7" s="4">
        <v>4</v>
      </c>
      <c r="E7" s="5">
        <f t="shared" si="0"/>
        <v>0</v>
      </c>
      <c r="F7" s="7">
        <v>0</v>
      </c>
      <c r="G7" s="6">
        <f t="shared" si="1"/>
        <v>0</v>
      </c>
      <c r="H7" s="6">
        <f t="shared" si="2"/>
        <v>0</v>
      </c>
      <c r="I7" s="5">
        <f>F7*1.08</f>
        <v>0</v>
      </c>
      <c r="J7" s="4"/>
    </row>
    <row r="8" spans="1:10" x14ac:dyDescent="0.25">
      <c r="A8" s="4" t="s">
        <v>19</v>
      </c>
      <c r="B8" s="4" t="s">
        <v>20</v>
      </c>
      <c r="C8" s="13">
        <v>0</v>
      </c>
      <c r="D8" s="4">
        <v>6</v>
      </c>
      <c r="E8" s="5">
        <f t="shared" si="0"/>
        <v>0</v>
      </c>
      <c r="F8" s="7">
        <v>0</v>
      </c>
      <c r="G8" s="6">
        <f t="shared" si="1"/>
        <v>0</v>
      </c>
      <c r="H8" s="6">
        <f t="shared" si="2"/>
        <v>0</v>
      </c>
      <c r="I8" s="5">
        <f t="shared" ref="I8:I9" si="4">F8*1.08</f>
        <v>0</v>
      </c>
      <c r="J8" s="4"/>
    </row>
    <row r="9" spans="1:10" x14ac:dyDescent="0.25">
      <c r="A9" s="4" t="s">
        <v>21</v>
      </c>
      <c r="B9" s="4" t="s">
        <v>22</v>
      </c>
      <c r="C9" s="13">
        <v>0</v>
      </c>
      <c r="D9" s="4">
        <v>8</v>
      </c>
      <c r="E9" s="5">
        <f t="shared" si="0"/>
        <v>0</v>
      </c>
      <c r="F9" s="7">
        <v>0</v>
      </c>
      <c r="G9" s="6">
        <f t="shared" si="1"/>
        <v>0</v>
      </c>
      <c r="H9" s="6">
        <f t="shared" si="2"/>
        <v>0</v>
      </c>
      <c r="I9" s="5">
        <f t="shared" si="4"/>
        <v>0</v>
      </c>
      <c r="J9" s="4"/>
    </row>
    <row r="10" spans="1:10" x14ac:dyDescent="0.25">
      <c r="A10" s="4" t="s">
        <v>23</v>
      </c>
      <c r="B10" s="4" t="s">
        <v>24</v>
      </c>
      <c r="C10" s="13">
        <v>0</v>
      </c>
      <c r="D10" s="4">
        <v>6</v>
      </c>
      <c r="E10" s="5">
        <f t="shared" si="0"/>
        <v>0</v>
      </c>
      <c r="F10" s="7">
        <v>0</v>
      </c>
      <c r="G10" s="6">
        <f t="shared" si="1"/>
        <v>0</v>
      </c>
      <c r="H10" s="6">
        <f t="shared" si="2"/>
        <v>0</v>
      </c>
      <c r="I10" s="5">
        <f t="shared" ref="I10" si="5">F10*1.15</f>
        <v>0</v>
      </c>
      <c r="J10" s="4"/>
    </row>
    <row r="11" spans="1:10" x14ac:dyDescent="0.25">
      <c r="A11" s="10" t="s">
        <v>25</v>
      </c>
      <c r="B11" s="4" t="s">
        <v>26</v>
      </c>
      <c r="C11" s="13">
        <v>0</v>
      </c>
      <c r="D11" s="4">
        <v>4</v>
      </c>
      <c r="E11" s="5">
        <f t="shared" si="0"/>
        <v>0</v>
      </c>
      <c r="F11" s="7">
        <v>0</v>
      </c>
      <c r="G11" s="6">
        <f t="shared" si="1"/>
        <v>0</v>
      </c>
      <c r="H11" s="6">
        <f t="shared" si="2"/>
        <v>0</v>
      </c>
      <c r="I11" s="5">
        <f>F11*0.77</f>
        <v>0</v>
      </c>
      <c r="J11" s="4"/>
    </row>
    <row r="12" spans="1:10" x14ac:dyDescent="0.25">
      <c r="A12" s="4" t="s">
        <v>27</v>
      </c>
      <c r="B12" s="4" t="s">
        <v>28</v>
      </c>
      <c r="C12" s="13">
        <v>0</v>
      </c>
      <c r="D12" s="4">
        <v>6</v>
      </c>
      <c r="E12" s="5">
        <f t="shared" si="0"/>
        <v>0</v>
      </c>
      <c r="F12" s="7">
        <v>0</v>
      </c>
      <c r="G12" s="6">
        <f t="shared" si="1"/>
        <v>0</v>
      </c>
      <c r="H12" s="6">
        <f t="shared" si="2"/>
        <v>0</v>
      </c>
      <c r="I12" s="5">
        <f t="shared" ref="I12:I13" si="6">F12*0.77</f>
        <v>0</v>
      </c>
      <c r="J12" s="4"/>
    </row>
    <row r="13" spans="1:10" x14ac:dyDescent="0.25">
      <c r="A13" s="4" t="s">
        <v>29</v>
      </c>
      <c r="B13" s="4" t="s">
        <v>30</v>
      </c>
      <c r="C13" s="13">
        <v>0</v>
      </c>
      <c r="D13" s="4">
        <v>9</v>
      </c>
      <c r="E13" s="5">
        <f t="shared" si="0"/>
        <v>0</v>
      </c>
      <c r="F13" s="7">
        <v>0</v>
      </c>
      <c r="G13" s="6">
        <f t="shared" si="1"/>
        <v>0</v>
      </c>
      <c r="H13" s="6">
        <f t="shared" si="2"/>
        <v>0</v>
      </c>
      <c r="I13" s="5">
        <f t="shared" si="6"/>
        <v>0</v>
      </c>
      <c r="J13" s="4"/>
    </row>
    <row r="14" spans="1:10" x14ac:dyDescent="0.25">
      <c r="A14" s="1" t="s">
        <v>31</v>
      </c>
      <c r="B14" s="1"/>
      <c r="C14" s="1">
        <f>SUM(C3:C13)</f>
        <v>0</v>
      </c>
      <c r="D14" s="1"/>
      <c r="E14" s="1"/>
      <c r="F14" s="1"/>
      <c r="G14" s="8">
        <f>SUM(G3:G13)</f>
        <v>0</v>
      </c>
      <c r="H14" s="8">
        <f>SUM(H3:H13)</f>
        <v>0</v>
      </c>
      <c r="I14" s="9">
        <f>SUM(I3:I13)</f>
        <v>0</v>
      </c>
      <c r="J14" s="14">
        <f>I14/12.05</f>
        <v>0</v>
      </c>
    </row>
    <row r="16" spans="1:10" s="12" customFormat="1" ht="12" x14ac:dyDescent="0.2">
      <c r="A16" s="11" t="s">
        <v>34</v>
      </c>
      <c r="B16" s="11"/>
      <c r="C16" s="11"/>
      <c r="D16" s="11"/>
      <c r="E16" s="11"/>
    </row>
  </sheetData>
  <autoFilter ref="A2:J14" xr:uid="{D81DDF55-8EC9-45DF-891F-937C5D959F0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F86C-B67C-46F8-A077-1778F6DEBCB9}">
  <dimension ref="A1:J15"/>
  <sheetViews>
    <sheetView tabSelected="1" workbookViewId="0">
      <selection activeCell="F3" sqref="F3"/>
    </sheetView>
  </sheetViews>
  <sheetFormatPr defaultRowHeight="15" x14ac:dyDescent="0.25"/>
  <cols>
    <col min="1" max="1" width="28" customWidth="1"/>
    <col min="9" max="9" width="11.28515625" customWidth="1"/>
  </cols>
  <sheetData>
    <row r="1" spans="1:10" ht="36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5">
      <c r="A2" s="4" t="s">
        <v>11</v>
      </c>
      <c r="B2" s="4" t="s">
        <v>12</v>
      </c>
      <c r="C2" s="13">
        <v>68</v>
      </c>
      <c r="D2" s="4">
        <v>4</v>
      </c>
      <c r="E2" s="5">
        <f>C2/D2</f>
        <v>17</v>
      </c>
      <c r="F2" s="7">
        <v>17</v>
      </c>
      <c r="G2" s="6">
        <f>F2*D2</f>
        <v>68</v>
      </c>
      <c r="H2" s="6">
        <f>G2-C2</f>
        <v>0</v>
      </c>
      <c r="I2" s="5">
        <f>F2*1.15</f>
        <v>19.549999999999997</v>
      </c>
      <c r="J2" s="4"/>
    </row>
    <row r="3" spans="1:10" x14ac:dyDescent="0.25">
      <c r="A3" s="4" t="s">
        <v>13</v>
      </c>
      <c r="B3" s="4" t="s">
        <v>14</v>
      </c>
      <c r="C3" s="13">
        <v>0</v>
      </c>
      <c r="D3" s="4">
        <v>6</v>
      </c>
      <c r="E3" s="5">
        <f t="shared" ref="E3:E12" si="0">C3/D3</f>
        <v>0</v>
      </c>
      <c r="F3" s="7">
        <v>0</v>
      </c>
      <c r="G3" s="6">
        <f t="shared" ref="G3:G12" si="1">F3*D3</f>
        <v>0</v>
      </c>
      <c r="H3" s="6">
        <f t="shared" ref="H3:H12" si="2">G3-C3</f>
        <v>0</v>
      </c>
      <c r="I3" s="5">
        <f t="shared" ref="I3:I4" si="3">F3*1.15</f>
        <v>0</v>
      </c>
      <c r="J3" s="4"/>
    </row>
    <row r="4" spans="1:10" x14ac:dyDescent="0.25">
      <c r="A4" s="4" t="s">
        <v>15</v>
      </c>
      <c r="B4" s="4" t="s">
        <v>16</v>
      </c>
      <c r="C4" s="13">
        <v>0</v>
      </c>
      <c r="D4" s="4">
        <v>8</v>
      </c>
      <c r="E4" s="5">
        <f t="shared" si="0"/>
        <v>0</v>
      </c>
      <c r="F4" s="7">
        <v>0</v>
      </c>
      <c r="G4" s="6">
        <f t="shared" si="1"/>
        <v>0</v>
      </c>
      <c r="H4" s="6">
        <f t="shared" si="2"/>
        <v>0</v>
      </c>
      <c r="I4" s="5">
        <f t="shared" si="3"/>
        <v>0</v>
      </c>
      <c r="J4" s="4"/>
    </row>
    <row r="5" spans="1:10" x14ac:dyDescent="0.25">
      <c r="A5" s="4" t="s">
        <v>33</v>
      </c>
      <c r="B5" s="4" t="s">
        <v>32</v>
      </c>
      <c r="C5" s="13">
        <v>0</v>
      </c>
      <c r="D5" s="4">
        <v>2</v>
      </c>
      <c r="E5" s="5">
        <f>C5/D5</f>
        <v>0</v>
      </c>
      <c r="F5" s="7">
        <v>0</v>
      </c>
      <c r="G5" s="6">
        <f>F5*D5</f>
        <v>0</v>
      </c>
      <c r="H5" s="6">
        <f>G5-C5</f>
        <v>0</v>
      </c>
      <c r="I5" s="5">
        <f>F5*1.15</f>
        <v>0</v>
      </c>
      <c r="J5" s="4"/>
    </row>
    <row r="6" spans="1:10" x14ac:dyDescent="0.25">
      <c r="A6" s="4" t="s">
        <v>17</v>
      </c>
      <c r="B6" s="4" t="s">
        <v>18</v>
      </c>
      <c r="C6" s="13">
        <v>0</v>
      </c>
      <c r="D6" s="4">
        <v>4</v>
      </c>
      <c r="E6" s="5">
        <f t="shared" si="0"/>
        <v>0</v>
      </c>
      <c r="F6" s="7">
        <v>0</v>
      </c>
      <c r="G6" s="6">
        <f t="shared" si="1"/>
        <v>0</v>
      </c>
      <c r="H6" s="6">
        <f t="shared" si="2"/>
        <v>0</v>
      </c>
      <c r="I6" s="5">
        <f>F6*1.08</f>
        <v>0</v>
      </c>
      <c r="J6" s="4"/>
    </row>
    <row r="7" spans="1:10" x14ac:dyDescent="0.25">
      <c r="A7" s="4" t="s">
        <v>19</v>
      </c>
      <c r="B7" s="4" t="s">
        <v>20</v>
      </c>
      <c r="C7" s="13">
        <v>0</v>
      </c>
      <c r="D7" s="4">
        <v>6</v>
      </c>
      <c r="E7" s="5">
        <f t="shared" si="0"/>
        <v>0</v>
      </c>
      <c r="F7" s="7">
        <v>0</v>
      </c>
      <c r="G7" s="6">
        <f t="shared" si="1"/>
        <v>0</v>
      </c>
      <c r="H7" s="6">
        <f t="shared" si="2"/>
        <v>0</v>
      </c>
      <c r="I7" s="5">
        <f t="shared" ref="I7:I8" si="4">F7*1.08</f>
        <v>0</v>
      </c>
      <c r="J7" s="4"/>
    </row>
    <row r="8" spans="1:10" x14ac:dyDescent="0.25">
      <c r="A8" s="4" t="s">
        <v>21</v>
      </c>
      <c r="B8" s="4" t="s">
        <v>22</v>
      </c>
      <c r="C8" s="13">
        <v>0</v>
      </c>
      <c r="D8" s="4">
        <v>8</v>
      </c>
      <c r="E8" s="5">
        <f t="shared" si="0"/>
        <v>0</v>
      </c>
      <c r="F8" s="7">
        <v>0</v>
      </c>
      <c r="G8" s="6">
        <f t="shared" si="1"/>
        <v>0</v>
      </c>
      <c r="H8" s="6">
        <f t="shared" si="2"/>
        <v>0</v>
      </c>
      <c r="I8" s="5">
        <f t="shared" si="4"/>
        <v>0</v>
      </c>
      <c r="J8" s="4"/>
    </row>
    <row r="9" spans="1:10" x14ac:dyDescent="0.25">
      <c r="A9" s="4" t="s">
        <v>23</v>
      </c>
      <c r="B9" s="4" t="s">
        <v>24</v>
      </c>
      <c r="C9" s="13">
        <v>6</v>
      </c>
      <c r="D9" s="4">
        <v>6</v>
      </c>
      <c r="E9" s="5">
        <f t="shared" si="0"/>
        <v>1</v>
      </c>
      <c r="F9" s="7">
        <v>1</v>
      </c>
      <c r="G9" s="6">
        <f t="shared" si="1"/>
        <v>6</v>
      </c>
      <c r="H9" s="6">
        <f t="shared" si="2"/>
        <v>0</v>
      </c>
      <c r="I9" s="5">
        <f t="shared" ref="I9" si="5">F9*1.15</f>
        <v>1.1499999999999999</v>
      </c>
      <c r="J9" s="4"/>
    </row>
    <row r="10" spans="1:10" x14ac:dyDescent="0.25">
      <c r="A10" s="10" t="s">
        <v>25</v>
      </c>
      <c r="B10" s="4" t="s">
        <v>26</v>
      </c>
      <c r="C10" s="13">
        <v>0</v>
      </c>
      <c r="D10" s="4">
        <v>4</v>
      </c>
      <c r="E10" s="5">
        <f t="shared" si="0"/>
        <v>0</v>
      </c>
      <c r="F10" s="7">
        <v>0</v>
      </c>
      <c r="G10" s="6">
        <f t="shared" si="1"/>
        <v>0</v>
      </c>
      <c r="H10" s="6">
        <f t="shared" si="2"/>
        <v>0</v>
      </c>
      <c r="I10" s="5">
        <f>F10*0.77</f>
        <v>0</v>
      </c>
      <c r="J10" s="4"/>
    </row>
    <row r="11" spans="1:10" x14ac:dyDescent="0.25">
      <c r="A11" s="4" t="s">
        <v>27</v>
      </c>
      <c r="B11" s="4" t="s">
        <v>28</v>
      </c>
      <c r="C11" s="13">
        <v>0</v>
      </c>
      <c r="D11" s="4">
        <v>6</v>
      </c>
      <c r="E11" s="5">
        <f t="shared" si="0"/>
        <v>0</v>
      </c>
      <c r="F11" s="7">
        <v>0</v>
      </c>
      <c r="G11" s="6">
        <f t="shared" si="1"/>
        <v>0</v>
      </c>
      <c r="H11" s="6">
        <f t="shared" si="2"/>
        <v>0</v>
      </c>
      <c r="I11" s="5">
        <f t="shared" ref="I11:I12" si="6">F11*0.77</f>
        <v>0</v>
      </c>
      <c r="J11" s="4"/>
    </row>
    <row r="12" spans="1:10" x14ac:dyDescent="0.25">
      <c r="A12" s="4" t="s">
        <v>29</v>
      </c>
      <c r="B12" s="4" t="s">
        <v>30</v>
      </c>
      <c r="C12" s="13">
        <v>0</v>
      </c>
      <c r="D12" s="4">
        <v>9</v>
      </c>
      <c r="E12" s="5">
        <f t="shared" si="0"/>
        <v>0</v>
      </c>
      <c r="F12" s="7">
        <v>0</v>
      </c>
      <c r="G12" s="6">
        <f t="shared" si="1"/>
        <v>0</v>
      </c>
      <c r="H12" s="6">
        <f t="shared" si="2"/>
        <v>0</v>
      </c>
      <c r="I12" s="5">
        <f t="shared" si="6"/>
        <v>0</v>
      </c>
      <c r="J12" s="4"/>
    </row>
    <row r="13" spans="1:10" x14ac:dyDescent="0.25">
      <c r="A13" s="1" t="s">
        <v>31</v>
      </c>
      <c r="B13" s="1"/>
      <c r="C13" s="1">
        <f>SUM(C2:C12)</f>
        <v>74</v>
      </c>
      <c r="D13" s="1"/>
      <c r="E13" s="1"/>
      <c r="F13" s="1"/>
      <c r="G13" s="8">
        <f>SUM(G2:G12)</f>
        <v>74</v>
      </c>
      <c r="H13" s="8">
        <f>SUM(H2:H12)</f>
        <v>0</v>
      </c>
      <c r="I13" s="9">
        <f>SUM(I2:I12)</f>
        <v>20.699999999999996</v>
      </c>
      <c r="J13" s="14">
        <f>I13/12.05</f>
        <v>1.7178423236514517</v>
      </c>
    </row>
    <row r="15" spans="1:10" x14ac:dyDescent="0.25">
      <c r="A1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Rogier Verkleij</dc:creator>
  <cp:lastModifiedBy>Niels van Lingen</cp:lastModifiedBy>
  <dcterms:created xsi:type="dcterms:W3CDTF">2025-07-15T08:43:22Z</dcterms:created>
  <dcterms:modified xsi:type="dcterms:W3CDTF">2025-10-30T15:29:07Z</dcterms:modified>
</cp:coreProperties>
</file>